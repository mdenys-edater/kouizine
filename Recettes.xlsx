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oix de la recettes" sheetId="1" r:id="rId5"/>
    <sheet state="visible" name="Choix des recettes multiple" sheetId="2" r:id="rId6"/>
    <sheet state="visible" name="Ingredients" sheetId="3" r:id="rId7"/>
    <sheet state="visible" name="Recettes" sheetId="4" r:id="rId8"/>
    <sheet state="hidden" name="Copie de Recettes" sheetId="5" r:id="rId9"/>
  </sheets>
  <definedNames>
    <definedName hidden="1" localSheetId="2" name="_xlnm._FilterDatabase">Ingredients!$B$2:$C$52</definedName>
  </definedNames>
  <calcPr/>
</workbook>
</file>

<file path=xl/sharedStrings.xml><?xml version="1.0" encoding="utf-8"?>
<sst xmlns="http://schemas.openxmlformats.org/spreadsheetml/2006/main" count="1265" uniqueCount="131">
  <si>
    <t>Ingrédients</t>
  </si>
  <si>
    <t>Recettes liés</t>
  </si>
  <si>
    <t>Homard</t>
  </si>
  <si>
    <t>&lt;= Si tu rajoutes des recettes, il faut que tu modifies cette ligne (uniquement)</t>
  </si>
  <si>
    <r>
      <rPr>
        <rFont val="Comic Sans MS"/>
        <color rgb="FFFFFFFF"/>
      </rPr>
      <t>Recettes!$A$10:$A$</t>
    </r>
    <r>
      <rPr>
        <rFont val="Comic Sans MS"/>
        <b/>
        <color rgb="FFFF0000"/>
      </rPr>
      <t>80</t>
    </r>
    <r>
      <rPr>
        <rFont val="Comic Sans MS"/>
        <color rgb="FFFFFFFF"/>
      </rPr>
      <t xml:space="preserve"> //// Recettes!B10:L</t>
    </r>
    <r>
      <rPr>
        <rFont val="Comic Sans MS"/>
        <b/>
        <color rgb="FFFF0000"/>
      </rPr>
      <t>80</t>
    </r>
    <r>
      <rPr>
        <rFont val="Comic Sans MS"/>
        <color rgb="FFFFFFFF"/>
      </rPr>
      <t xml:space="preserve"> &lt;=== Tu as juste a modifier le nombre en </t>
    </r>
    <r>
      <rPr>
        <rFont val="Comic Sans MS"/>
        <b/>
        <color rgb="FFFF0000"/>
      </rPr>
      <t>GRAS</t>
    </r>
  </si>
  <si>
    <t>qui correspond a la ligne de la derniere recette dans l'onglet Recettes.</t>
  </si>
  <si>
    <t>Recettes</t>
  </si>
  <si>
    <t>Prix</t>
  </si>
  <si>
    <t>Cake au saumon</t>
  </si>
  <si>
    <t>&lt;= Pareil ici pour ce qui concerne les Ingrédients et le Prix c'est la même modification</t>
  </si>
  <si>
    <r>
      <rPr>
        <rFont val="Comic Sans MS"/>
        <color rgb="FFFFFFFF"/>
      </rPr>
      <t>Recettes!$A$10:$L$</t>
    </r>
    <r>
      <rPr>
        <rFont val="Comic Sans MS"/>
        <b/>
        <color rgb="FFFF0000"/>
      </rPr>
      <t>80</t>
    </r>
    <r>
      <rPr>
        <rFont val="Comic Sans MS"/>
        <color rgb="FFFFFFFF"/>
      </rPr>
      <t xml:space="preserve"> simplement le nombre en </t>
    </r>
    <r>
      <rPr>
        <rFont val="Comic Sans MS"/>
        <b/>
        <color rgb="FFFF0000"/>
      </rPr>
      <t>GRAS</t>
    </r>
    <r>
      <rPr>
        <rFont val="Comic Sans MS"/>
        <color rgb="FFFFFFFF"/>
      </rPr>
      <t xml:space="preserve"> sur chaque ligne d'ingrédient (1 à 6).</t>
    </r>
  </si>
  <si>
    <r>
      <rPr>
        <rFont val="Comic Sans MS"/>
        <color rgb="FFFFFFFF"/>
      </rPr>
      <t>Recettes!$A$10:$N$</t>
    </r>
    <r>
      <rPr>
        <rFont val="Comic Sans MS"/>
        <b/>
        <color rgb="FFFF0000"/>
      </rPr>
      <t>80</t>
    </r>
    <r>
      <rPr>
        <rFont val="Comic Sans MS"/>
        <color rgb="FFFFFFFF"/>
      </rPr>
      <t xml:space="preserve">  Pareil pour le prix, simplement le nombre en </t>
    </r>
    <r>
      <rPr>
        <rFont val="Comic Sans MS"/>
        <b/>
        <color rgb="FFFF0000"/>
      </rPr>
      <t>GRAS</t>
    </r>
    <r>
      <rPr>
        <rFont val="Comic Sans MS"/>
        <color rgb="FFFFFFFF"/>
      </rPr>
      <t>.</t>
    </r>
  </si>
  <si>
    <t>Bucket de poulet</t>
  </si>
  <si>
    <t>3x Limonades</t>
  </si>
  <si>
    <t>Côtes de porc légumes</t>
  </si>
  <si>
    <t>Poulet Basquaise</t>
  </si>
  <si>
    <t>Hachis Parmentier</t>
  </si>
  <si>
    <t>Poulet au Curry</t>
  </si>
  <si>
    <t>Soupe de légumes</t>
  </si>
  <si>
    <t>Steak Frites</t>
  </si>
  <si>
    <t>Ingrédient:</t>
  </si>
  <si>
    <t>Prix:</t>
  </si>
  <si>
    <t>Beurre</t>
  </si>
  <si>
    <t>Calamar</t>
  </si>
  <si>
    <t>Chocolat</t>
  </si>
  <si>
    <t>Citron</t>
  </si>
  <si>
    <t>Côte de porc</t>
  </si>
  <si>
    <t>Crabe</t>
  </si>
  <si>
    <t>Crevette</t>
  </si>
  <si>
    <t>Cuisse de volaille</t>
  </si>
  <si>
    <t>Eau</t>
  </si>
  <si>
    <t>Farine</t>
  </si>
  <si>
    <t>Fraise</t>
  </si>
  <si>
    <t>Frite</t>
  </si>
  <si>
    <t>Fromage</t>
  </si>
  <si>
    <t>Gauffre nature</t>
  </si>
  <si>
    <t>Haricot</t>
  </si>
  <si>
    <t>Lait</t>
  </si>
  <si>
    <t>Moule</t>
  </si>
  <si>
    <t>Oeuf</t>
  </si>
  <si>
    <t>Oignon</t>
  </si>
  <si>
    <t>Orange</t>
  </si>
  <si>
    <t>Pain</t>
  </si>
  <si>
    <t>Pain à burger</t>
  </si>
  <si>
    <t>Pate</t>
  </si>
  <si>
    <t>Pate à Pizza</t>
  </si>
  <si>
    <t>Pate fraiche</t>
  </si>
  <si>
    <t>Pomme</t>
  </si>
  <si>
    <t>Pomme de Terre</t>
  </si>
  <si>
    <t>Riz</t>
  </si>
  <si>
    <t>Salade</t>
  </si>
  <si>
    <t>Saucisse de porc</t>
  </si>
  <si>
    <t>Saumon</t>
  </si>
  <si>
    <t>Semoule</t>
  </si>
  <si>
    <t>Steack haché</t>
  </si>
  <si>
    <t>Sucre</t>
  </si>
  <si>
    <t>Thon</t>
  </si>
  <si>
    <t>Tomate</t>
  </si>
  <si>
    <t>Truite</t>
  </si>
  <si>
    <t>Viande de gibier</t>
  </si>
  <si>
    <t>Saucisson</t>
  </si>
  <si>
    <t>Viande séchée</t>
  </si>
  <si>
    <t>-</t>
  </si>
  <si>
    <r>
      <rPr>
        <rFont val="Comic Sans MS"/>
        <color rgb="FFFFFFFF"/>
        <sz val="25.0"/>
      </rPr>
      <t xml:space="preserve">Si tu rajoutes des ingrédients dans l'onglet "Ingredients", il faudra penser à modifier chaque ligne des colonnes : C / E / G / I / K / M en modifiant ce qui est en </t>
    </r>
    <r>
      <rPr>
        <rFont val="Comic Sans MS"/>
        <b/>
        <color rgb="FFFF0000"/>
        <sz val="25.0"/>
      </rPr>
      <t>GRAS</t>
    </r>
    <r>
      <rPr>
        <rFont val="Comic Sans MS"/>
        <color rgb="FFFFFFFF"/>
        <sz val="25.0"/>
      </rPr>
      <t xml:space="preserve"> : Ingredients!$B$3:$C$</t>
    </r>
    <r>
      <rPr>
        <rFont val="Comic Sans MS"/>
        <b/>
        <color rgb="FFFF0000"/>
        <sz val="25.0"/>
      </rPr>
      <t xml:space="preserve">44 </t>
    </r>
    <r>
      <rPr>
        <rFont val="Comic Sans MS"/>
        <color rgb="FFFFFFFF"/>
        <sz val="25.0"/>
      </rPr>
      <t>&lt;= Correspond au dernier ingrédient de l'onglet Ingredients.</t>
    </r>
  </si>
  <si>
    <t>Beignet de calamar</t>
  </si>
  <si>
    <t>Boîte de nuggets</t>
  </si>
  <si>
    <t>Brochette de poulet</t>
  </si>
  <si>
    <t>Calamar farcie</t>
  </si>
  <si>
    <t>Chocolat Chaud</t>
  </si>
  <si>
    <t>Cookies</t>
  </si>
  <si>
    <t>Couscous</t>
  </si>
  <si>
    <t>Crêpe</t>
  </si>
  <si>
    <t>Croque-Monsieur</t>
  </si>
  <si>
    <t>Dango Fruité</t>
  </si>
  <si>
    <t>Donut's fraise</t>
  </si>
  <si>
    <t>Fish &amp; chips</t>
  </si>
  <si>
    <t>Fleur aux pommes</t>
  </si>
  <si>
    <t>Fondant chocolat</t>
  </si>
  <si>
    <t>Gâteau d'anniversaire</t>
  </si>
  <si>
    <t>Gâteau de semoule à l'orange</t>
  </si>
  <si>
    <t>Gauffre Nature</t>
  </si>
  <si>
    <t>Gauffre au sucre</t>
  </si>
  <si>
    <t>Homard rôti au beurre</t>
  </si>
  <si>
    <t>Le ClassiQ</t>
  </si>
  <si>
    <t>3x Macarons</t>
  </si>
  <si>
    <t>Mamie Steak</t>
  </si>
  <si>
    <t>Mass'welsh</t>
  </si>
  <si>
    <t>Milkshake chocolat</t>
  </si>
  <si>
    <t>Milkshake fraise</t>
  </si>
  <si>
    <t>Mochi Fraise-Chocolat</t>
  </si>
  <si>
    <t>Moule frites</t>
  </si>
  <si>
    <t>Mousse au Chocolat</t>
  </si>
  <si>
    <t>Muffins au chocolat</t>
  </si>
  <si>
    <t>Nouilles</t>
  </si>
  <si>
    <t>Onigiri au crabe</t>
  </si>
  <si>
    <t>Paella</t>
  </si>
  <si>
    <t>Pain perdu</t>
  </si>
  <si>
    <t>Paté au Crabe</t>
  </si>
  <si>
    <t>Pâtes au beurre</t>
  </si>
  <si>
    <t>Pâtes bolognaise</t>
  </si>
  <si>
    <t>Pâtes à la carbonara</t>
  </si>
  <si>
    <t>Pâtes au saumon</t>
  </si>
  <si>
    <t>Pizza canibale</t>
  </si>
  <si>
    <t>Pizza fruitée</t>
  </si>
  <si>
    <t>Pizza jambon</t>
  </si>
  <si>
    <t>Pizza Margherita</t>
  </si>
  <si>
    <t>Porc farci à l'orange</t>
  </si>
  <si>
    <t>Porc Chop</t>
  </si>
  <si>
    <t>Pot au feu</t>
  </si>
  <si>
    <t>Poulet Rôti</t>
  </si>
  <si>
    <t>Purée et Fishsticks</t>
  </si>
  <si>
    <t>Raclette</t>
  </si>
  <si>
    <t>Risotto au Homard</t>
  </si>
  <si>
    <t>Riz au lait</t>
  </si>
  <si>
    <t>Saumon riz</t>
  </si>
  <si>
    <t>Thon riz</t>
  </si>
  <si>
    <t>Salade Astérix</t>
  </si>
  <si>
    <t>Salade de crevette</t>
  </si>
  <si>
    <t>Salade de fruit</t>
  </si>
  <si>
    <t>Sandwich au thon</t>
  </si>
  <si>
    <t>Sashimi</t>
  </si>
  <si>
    <t>Sauté de porc farci</t>
  </si>
  <si>
    <t>3x Smoothie aux fruits</t>
  </si>
  <si>
    <t>Soupe de poisson</t>
  </si>
  <si>
    <t>Sushis</t>
  </si>
  <si>
    <t>Tarte au pomme</t>
  </si>
  <si>
    <t>Tartelette citron</t>
  </si>
  <si>
    <t>Tartelette fraise</t>
  </si>
  <si>
    <t>Tartiflette</t>
  </si>
  <si>
    <t>Tartine de confiture de fraise</t>
  </si>
  <si>
    <t>Gateau de semoule à l'orange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</si>
</sst>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[$$]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sz val="25.0"/>
      <color theme="1"/>
      <name val="Comic Sans MS"/>
    </font>
    <font/>
    <font>
      <sz val="20.0"/>
      <color theme="1"/>
      <name val="Comic Sans MS"/>
    </font>
    <font>
      <sz val="12.0"/>
      <color theme="1"/>
      <name val="Comic Sans MS"/>
    </font>
    <font>
      <color rgb="FFFFFFFF"/>
      <name val="Comic Sans MS"/>
    </font>
    <font>
      <color rgb="FFFFFFFF"/>
      <name val="Arial"/>
      <scheme val="minor"/>
    </font>
    <font>
      <color rgb="FF000000"/>
      <name val="Arial"/>
      <scheme val="minor"/>
    </font>
    <font>
      <sz val="25.0"/>
      <color rgb="FFFFFFFF"/>
      <name val="Comic Sans MS"/>
    </font>
    <font>
      <sz val="20.0"/>
      <color rgb="FFFFFFFF"/>
      <name val="Comic Sans MS"/>
    </font>
    <font>
      <sz val="13.0"/>
      <color theme="1"/>
      <name val="Comic Sans MS"/>
    </font>
    <font>
      <sz val="15.0"/>
      <color theme="1"/>
      <name val="Comic Sans MS"/>
    </font>
    <font>
      <color theme="1"/>
      <name val="Comic Sans MS"/>
    </font>
    <font>
      <sz val="40.0"/>
      <color theme="1"/>
      <name val="Comic Sans MS"/>
    </font>
    <font>
      <sz val="12.0"/>
      <color rgb="FF666666"/>
      <name val="Comic Sans MS"/>
    </font>
    <font>
      <sz val="12.0"/>
      <color rgb="FF999999"/>
      <name val="Comic Sans MS"/>
    </font>
    <font>
      <b/>
      <i/>
      <sz val="16.0"/>
      <color rgb="FF999999"/>
      <name val="Comic Sans MS"/>
    </font>
    <font>
      <b/>
      <i/>
      <sz val="17.0"/>
      <color rgb="FF999999"/>
      <name val="Comic Sans MS"/>
    </font>
    <font>
      <sz val="12.0"/>
      <color rgb="FF434343"/>
      <name val="Comic Sans MS"/>
    </font>
    <font>
      <b/>
      <i/>
      <sz val="12.0"/>
      <color theme="1"/>
      <name val="Comic Sans MS"/>
    </font>
    <font>
      <i/>
      <sz val="12.0"/>
      <color theme="1"/>
      <name val="Comic Sans MS"/>
    </font>
    <font>
      <i/>
      <sz val="12.0"/>
      <color rgb="FF000000"/>
      <name val="&quot;Comic Sans MS&quot;"/>
    </font>
  </fonts>
  <fills count="1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666666"/>
        <bgColor rgb="FF666666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F9CB9C"/>
        <bgColor rgb="FFF9CB9C"/>
      </patternFill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CC0000"/>
        <bgColor rgb="FFCC0000"/>
      </patternFill>
    </fill>
  </fills>
  <borders count="41">
    <border/>
    <border>
      <left style="thick">
        <color rgb="FF000000"/>
      </left>
      <top style="thick">
        <color rgb="FF000000"/>
      </top>
      <bottom style="hair">
        <color rgb="FF000000"/>
      </bottom>
    </border>
    <border>
      <top style="thick">
        <color rgb="FF000000"/>
      </top>
      <bottom style="hair">
        <color rgb="FF000000"/>
      </bottom>
    </border>
    <border>
      <right style="thick">
        <color rgb="FF000000"/>
      </right>
      <top style="thick">
        <color rgb="FF000000"/>
      </top>
      <bottom style="hair">
        <color rgb="FF000000"/>
      </bottom>
    </border>
    <border>
      <left style="thick">
        <color rgb="FF000000"/>
      </left>
    </border>
    <border>
      <left style="thick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FFFFFF"/>
      </left>
      <right style="thick">
        <color rgb="FF000000"/>
      </right>
      <top style="thick">
        <color rgb="FFFFFFFF"/>
      </top>
    </border>
    <border>
      <left style="thick">
        <color rgb="FFFFFFFF"/>
      </left>
      <right style="thick">
        <color rgb="FF000000"/>
      </right>
    </border>
    <border>
      <left style="thick">
        <color rgb="FFFFFFFF"/>
      </left>
      <right style="thick">
        <color rgb="FF000000"/>
      </right>
      <bottom style="thick">
        <color rgb="FFFFFFFF"/>
      </bottom>
    </border>
    <border>
      <right style="thick">
        <color rgb="FF000000"/>
      </right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bottom style="dotted">
        <color rgb="FF000000"/>
      </bottom>
    </border>
    <border>
      <right style="thick">
        <color rgb="FF000000"/>
      </right>
      <top style="thick">
        <color rgb="FFFFFFFF"/>
      </top>
    </border>
    <border>
      <bottom style="thick">
        <color rgb="FFFFFFFF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dotted">
        <color rgb="FF000000"/>
      </right>
    </border>
    <border>
      <left style="thick">
        <color rgb="FF666666"/>
      </left>
      <right style="dotted">
        <color rgb="FF666666"/>
      </right>
      <top style="thin">
        <color rgb="FF666666"/>
      </top>
      <bottom style="thin">
        <color rgb="FF666666"/>
      </bottom>
    </border>
    <border>
      <left style="dotted">
        <color rgb="FF666666"/>
      </left>
      <right style="thick">
        <color rgb="FF666666"/>
      </right>
      <top style="thin">
        <color rgb="FF666666"/>
      </top>
      <bottom style="thin">
        <color rgb="FF666666"/>
      </bottom>
    </border>
    <border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bottom style="medium">
        <color rgb="FF000000"/>
      </bottom>
    </border>
    <border>
      <left style="dotted">
        <color rgb="FF000000"/>
      </left>
      <right style="thick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bottom style="medium">
        <color rgb="FF000000"/>
      </bottom>
    </border>
    <border>
      <right style="dotted">
        <color rgb="FF000000"/>
      </right>
      <top style="thick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medium">
        <color rgb="FF000000"/>
      </bottom>
    </border>
    <border>
      <left style="dotted">
        <color rgb="FF000000"/>
      </left>
      <top style="thick">
        <color rgb="FF000000"/>
      </top>
      <bottom style="medium">
        <color rgb="FF000000"/>
      </bottom>
    </border>
    <border>
      <left style="dotted">
        <color rgb="FF000000"/>
      </left>
      <right style="thick">
        <color rgb="FF000000"/>
      </right>
      <top style="thick">
        <color rgb="FF000000"/>
      </top>
      <bottom style="medium">
        <color rgb="FF000000"/>
      </bottom>
    </border>
    <border>
      <right style="dotted">
        <color rgb="FF000000"/>
      </right>
      <bottom style="thick">
        <color rgb="FF000000"/>
      </bottom>
    </border>
    <border>
      <left style="dotted">
        <color rgb="FF000000"/>
      </left>
      <right style="dotted">
        <color rgb="FF000000"/>
      </right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left style="dotted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ont="1">
      <alignment horizontal="center" readingOrder="0" vertical="center"/>
    </xf>
    <xf borderId="5" fillId="3" fontId="5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8" fillId="2" fontId="6" numFmtId="0" xfId="0" applyAlignment="1" applyBorder="1" applyFont="1">
      <alignment readingOrder="0"/>
    </xf>
    <xf borderId="4" fillId="0" fontId="3" numFmtId="0" xfId="0" applyBorder="1" applyFont="1"/>
    <xf borderId="5" fillId="3" fontId="5" numFmtId="0" xfId="0" applyAlignment="1" applyBorder="1" applyFont="1">
      <alignment horizontal="center" readingOrder="0" vertical="center"/>
    </xf>
    <xf borderId="9" fillId="2" fontId="6" numFmtId="0" xfId="0" applyAlignment="1" applyBorder="1" applyFont="1">
      <alignment readingOrder="0"/>
    </xf>
    <xf borderId="10" fillId="2" fontId="6" numFmtId="0" xfId="0" applyAlignment="1" applyBorder="1" applyFont="1">
      <alignment readingOrder="0"/>
    </xf>
    <xf borderId="11" fillId="2" fontId="1" numFmtId="0" xfId="0" applyBorder="1" applyFont="1"/>
    <xf borderId="5" fillId="3" fontId="5" numFmtId="0" xfId="0" applyAlignment="1" applyBorder="1" applyFont="1">
      <alignment horizontal="center"/>
    </xf>
    <xf borderId="11" fillId="2" fontId="7" numFmtId="0" xfId="0" applyBorder="1" applyFont="1"/>
    <xf borderId="11" fillId="2" fontId="8" numFmtId="0" xfId="0" applyBorder="1" applyFont="1"/>
    <xf borderId="12" fillId="2" fontId="9" numFmtId="0" xfId="0" applyAlignment="1" applyBorder="1" applyFont="1">
      <alignment horizontal="center" readingOrder="0" vertical="center"/>
    </xf>
    <xf borderId="13" fillId="0" fontId="3" numFmtId="0" xfId="0" applyBorder="1" applyFont="1"/>
    <xf borderId="14" fillId="2" fontId="10" numFmtId="0" xfId="0" applyAlignment="1" applyBorder="1" applyFont="1">
      <alignment horizontal="center" readingOrder="0" vertical="center"/>
    </xf>
    <xf borderId="14" fillId="0" fontId="3" numFmtId="0" xfId="0" applyBorder="1" applyFont="1"/>
    <xf borderId="15" fillId="2" fontId="10" numFmtId="0" xfId="0" applyAlignment="1" applyBorder="1" applyFont="1">
      <alignment horizontal="center" readingOrder="0" vertical="center"/>
    </xf>
    <xf borderId="11" fillId="0" fontId="3" numFmtId="0" xfId="0" applyBorder="1" applyFont="1"/>
    <xf borderId="16" fillId="0" fontId="3" numFmtId="0" xfId="0" applyBorder="1" applyFont="1"/>
    <xf borderId="17" fillId="3" fontId="11" numFmtId="0" xfId="0" applyAlignment="1" applyBorder="1" applyFont="1">
      <alignment horizontal="center" readingOrder="0" vertical="center"/>
    </xf>
    <xf borderId="17" fillId="3" fontId="12" numFmtId="0" xfId="0" applyAlignment="1" applyBorder="1" applyFont="1">
      <alignment horizontal="center" vertical="center"/>
    </xf>
    <xf borderId="17" fillId="3" fontId="13" numFmtId="164" xfId="0" applyBorder="1" applyFont="1" applyNumberFormat="1"/>
    <xf borderId="16" fillId="0" fontId="14" numFmtId="164" xfId="0" applyAlignment="1" applyBorder="1" applyFont="1" applyNumberFormat="1">
      <alignment horizontal="center" vertical="center"/>
    </xf>
    <xf borderId="18" fillId="2" fontId="6" numFmtId="0" xfId="0" applyAlignment="1" applyBorder="1" applyFont="1">
      <alignment readingOrder="0"/>
    </xf>
    <xf borderId="0" fillId="2" fontId="6" numFmtId="0" xfId="0" applyAlignment="1" applyFont="1">
      <alignment readingOrder="0"/>
    </xf>
    <xf borderId="19" fillId="2" fontId="6" numFmtId="0" xfId="0" applyAlignment="1" applyBorder="1" applyFont="1">
      <alignment readingOrder="0"/>
    </xf>
    <xf borderId="20" fillId="0" fontId="3" numFmtId="0" xfId="0" applyBorder="1" applyFont="1"/>
    <xf borderId="21" fillId="0" fontId="3" numFmtId="0" xfId="0" applyBorder="1" applyFont="1"/>
    <xf borderId="22" fillId="3" fontId="11" numFmtId="0" xfId="0" applyAlignment="1" applyBorder="1" applyFont="1">
      <alignment horizontal="center" readingOrder="0" vertical="center"/>
    </xf>
    <xf borderId="22" fillId="3" fontId="12" numFmtId="0" xfId="0" applyAlignment="1" applyBorder="1" applyFont="1">
      <alignment horizontal="center" vertical="center"/>
    </xf>
    <xf borderId="22" fillId="3" fontId="13" numFmtId="164" xfId="0" applyBorder="1" applyFont="1" applyNumberFormat="1"/>
    <xf borderId="23" fillId="0" fontId="3" numFmtId="0" xfId="0" applyBorder="1" applyFont="1"/>
    <xf borderId="0" fillId="2" fontId="1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horizontal="center" readingOrder="0" vertical="center"/>
    </xf>
    <xf borderId="12" fillId="2" fontId="9" numFmtId="0" xfId="0" applyAlignment="1" applyBorder="1" applyFont="1">
      <alignment horizontal="center" vertical="center"/>
    </xf>
    <xf borderId="14" fillId="2" fontId="10" numFmtId="0" xfId="0" applyAlignment="1" applyBorder="1" applyFont="1">
      <alignment horizontal="center" vertical="center"/>
    </xf>
    <xf borderId="15" fillId="2" fontId="10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7" fillId="3" fontId="13" numFmtId="164" xfId="0" applyAlignment="1" applyBorder="1" applyFont="1" applyNumberFormat="1">
      <alignment horizontal="center" vertical="center"/>
    </xf>
    <xf borderId="17" fillId="3" fontId="11" numFmtId="0" xfId="0" applyAlignment="1" applyBorder="1" applyFont="1">
      <alignment horizontal="center" vertical="center"/>
    </xf>
    <xf borderId="16" fillId="4" fontId="14" numFmtId="164" xfId="0" applyAlignment="1" applyBorder="1" applyFill="1" applyFont="1" applyNumberFormat="1">
      <alignment horizontal="center" vertical="center"/>
    </xf>
    <xf borderId="22" fillId="3" fontId="13" numFmtId="164" xfId="0" applyAlignment="1" applyBorder="1" applyFont="1" applyNumberFormat="1">
      <alignment horizontal="center" vertical="center"/>
    </xf>
    <xf borderId="22" fillId="3" fontId="11" numFmtId="0" xfId="0" applyAlignment="1" applyBorder="1" applyFont="1">
      <alignment horizontal="center" vertical="center"/>
    </xf>
    <xf borderId="16" fillId="5" fontId="14" numFmtId="164" xfId="0" applyAlignment="1" applyBorder="1" applyFill="1" applyFont="1" applyNumberFormat="1">
      <alignment horizontal="center" vertical="center"/>
    </xf>
    <xf borderId="16" fillId="6" fontId="14" numFmtId="164" xfId="0" applyAlignment="1" applyBorder="1" applyFill="1" applyFont="1" applyNumberFormat="1">
      <alignment horizontal="center" vertical="center"/>
    </xf>
    <xf borderId="0" fillId="2" fontId="4" numFmtId="0" xfId="0" applyAlignment="1" applyFont="1">
      <alignment horizontal="center" readingOrder="0" vertical="center"/>
    </xf>
    <xf borderId="0" fillId="2" fontId="11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2" fontId="13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0" fillId="7" fontId="15" numFmtId="0" xfId="0" applyAlignment="1" applyFill="1" applyFont="1">
      <alignment horizontal="center" readingOrder="0" vertical="center"/>
    </xf>
    <xf borderId="0" fillId="7" fontId="16" numFmtId="0" xfId="0" applyAlignment="1" applyFont="1">
      <alignment horizontal="center" readingOrder="0" vertical="center"/>
    </xf>
    <xf borderId="24" fillId="7" fontId="16" numFmtId="0" xfId="0" applyAlignment="1" applyBorder="1" applyFont="1">
      <alignment horizontal="center" readingOrder="0" vertical="center"/>
    </xf>
    <xf borderId="0" fillId="7" fontId="15" numFmtId="0" xfId="0" applyAlignment="1" applyFont="1">
      <alignment horizontal="center" vertical="center"/>
    </xf>
    <xf borderId="0" fillId="8" fontId="17" numFmtId="0" xfId="0" applyAlignment="1" applyFill="1" applyFont="1">
      <alignment horizontal="center" readingOrder="0" shrinkToFit="0" vertical="center" wrapText="0"/>
    </xf>
    <xf borderId="0" fillId="8" fontId="18" numFmtId="0" xfId="0" applyAlignment="1" applyFont="1">
      <alignment horizontal="center" readingOrder="0" shrinkToFit="0" vertical="center" wrapText="0"/>
    </xf>
    <xf borderId="25" fillId="8" fontId="16" numFmtId="0" xfId="0" applyAlignment="1" applyBorder="1" applyFont="1">
      <alignment horizontal="center" readingOrder="0" shrinkToFit="0" vertical="center" wrapText="0"/>
    </xf>
    <xf borderId="26" fillId="8" fontId="16" numFmtId="164" xfId="0" applyAlignment="1" applyBorder="1" applyFont="1" applyNumberFormat="1">
      <alignment horizontal="center" readingOrder="0" shrinkToFit="0" vertical="center" wrapText="0"/>
    </xf>
    <xf borderId="0" fillId="7" fontId="19" numFmtId="0" xfId="0" applyAlignment="1" applyFont="1">
      <alignment horizontal="center" vertical="center"/>
    </xf>
    <xf borderId="0" fillId="7" fontId="9" numFmtId="0" xfId="0" applyAlignment="1" applyFont="1">
      <alignment horizontal="center" readingOrder="0" shrinkToFit="0" vertical="center" wrapText="1"/>
    </xf>
    <xf borderId="23" fillId="9" fontId="20" numFmtId="0" xfId="0" applyAlignment="1" applyBorder="1" applyFill="1" applyFont="1">
      <alignment horizontal="center" readingOrder="0"/>
    </xf>
    <xf borderId="27" fillId="9" fontId="21" numFmtId="0" xfId="0" applyAlignment="1" applyBorder="1" applyFont="1">
      <alignment horizontal="center" readingOrder="0"/>
    </xf>
    <xf borderId="27" fillId="9" fontId="21" numFmtId="164" xfId="0" applyAlignment="1" applyBorder="1" applyFont="1" applyNumberFormat="1">
      <alignment horizontal="center" readingOrder="0"/>
    </xf>
    <xf borderId="28" fillId="9" fontId="21" numFmtId="164" xfId="0" applyAlignment="1" applyBorder="1" applyFont="1" applyNumberFormat="1">
      <alignment horizontal="center" readingOrder="0"/>
    </xf>
    <xf borderId="28" fillId="9" fontId="21" numFmtId="164" xfId="0" applyAlignment="1" applyBorder="1" applyFont="1" applyNumberFormat="1">
      <alignment horizontal="center"/>
    </xf>
    <xf borderId="29" fillId="9" fontId="21" numFmtId="164" xfId="0" applyAlignment="1" applyBorder="1" applyFont="1" applyNumberFormat="1">
      <alignment horizontal="center"/>
    </xf>
    <xf borderId="30" fillId="9" fontId="21" numFmtId="164" xfId="0" applyAlignment="1" applyBorder="1" applyFont="1" applyNumberFormat="1">
      <alignment horizontal="center" readingOrder="0"/>
    </xf>
    <xf borderId="23" fillId="10" fontId="20" numFmtId="0" xfId="0" applyAlignment="1" applyBorder="1" applyFill="1" applyFont="1">
      <alignment horizontal="center" readingOrder="0"/>
    </xf>
    <xf borderId="27" fillId="10" fontId="21" numFmtId="0" xfId="0" applyAlignment="1" applyBorder="1" applyFont="1">
      <alignment horizontal="center" readingOrder="0"/>
    </xf>
    <xf borderId="27" fillId="10" fontId="21" numFmtId="164" xfId="0" applyAlignment="1" applyBorder="1" applyFont="1" applyNumberFormat="1">
      <alignment horizontal="center" readingOrder="0"/>
    </xf>
    <xf borderId="28" fillId="10" fontId="21" numFmtId="164" xfId="0" applyAlignment="1" applyBorder="1" applyFont="1" applyNumberFormat="1">
      <alignment horizontal="center" readingOrder="0"/>
    </xf>
    <xf borderId="28" fillId="10" fontId="21" numFmtId="164" xfId="0" applyAlignment="1" applyBorder="1" applyFont="1" applyNumberFormat="1">
      <alignment horizontal="center"/>
    </xf>
    <xf borderId="29" fillId="10" fontId="21" numFmtId="164" xfId="0" applyAlignment="1" applyBorder="1" applyFont="1" applyNumberFormat="1">
      <alignment horizontal="center"/>
    </xf>
    <xf borderId="30" fillId="10" fontId="21" numFmtId="164" xfId="0" applyAlignment="1" applyBorder="1" applyFont="1" applyNumberFormat="1">
      <alignment horizontal="center" readingOrder="0"/>
    </xf>
    <xf borderId="31" fillId="10" fontId="20" numFmtId="0" xfId="0" applyAlignment="1" applyBorder="1" applyFont="1">
      <alignment horizontal="center" readingOrder="0"/>
    </xf>
    <xf borderId="27" fillId="10" fontId="22" numFmtId="0" xfId="0" applyAlignment="1" applyBorder="1" applyFont="1">
      <alignment horizontal="center" readingOrder="0"/>
    </xf>
    <xf borderId="31" fillId="4" fontId="20" numFmtId="0" xfId="0" applyAlignment="1" applyBorder="1" applyFont="1">
      <alignment horizontal="center" readingOrder="0"/>
    </xf>
    <xf borderId="27" fillId="4" fontId="21" numFmtId="0" xfId="0" applyAlignment="1" applyBorder="1" applyFont="1">
      <alignment horizontal="center" readingOrder="0"/>
    </xf>
    <xf borderId="27" fillId="4" fontId="21" numFmtId="164" xfId="0" applyAlignment="1" applyBorder="1" applyFont="1" applyNumberFormat="1">
      <alignment horizontal="center" readingOrder="0"/>
    </xf>
    <xf borderId="28" fillId="4" fontId="21" numFmtId="164" xfId="0" applyAlignment="1" applyBorder="1" applyFont="1" applyNumberFormat="1">
      <alignment horizontal="center" readingOrder="0"/>
    </xf>
    <xf borderId="28" fillId="4" fontId="21" numFmtId="164" xfId="0" applyAlignment="1" applyBorder="1" applyFont="1" applyNumberFormat="1">
      <alignment horizontal="center"/>
    </xf>
    <xf borderId="29" fillId="4" fontId="21" numFmtId="164" xfId="0" applyAlignment="1" applyBorder="1" applyFont="1" applyNumberFormat="1">
      <alignment horizontal="center"/>
    </xf>
    <xf borderId="30" fillId="4" fontId="21" numFmtId="164" xfId="0" applyAlignment="1" applyBorder="1" applyFont="1" applyNumberFormat="1">
      <alignment horizontal="center" readingOrder="0"/>
    </xf>
    <xf borderId="31" fillId="9" fontId="20" numFmtId="0" xfId="0" applyAlignment="1" applyBorder="1" applyFont="1">
      <alignment horizontal="center" readingOrder="0"/>
    </xf>
    <xf borderId="31" fillId="11" fontId="20" numFmtId="0" xfId="0" applyAlignment="1" applyBorder="1" applyFill="1" applyFont="1">
      <alignment horizontal="center" readingOrder="0"/>
    </xf>
    <xf borderId="27" fillId="11" fontId="21" numFmtId="0" xfId="0" applyAlignment="1" applyBorder="1" applyFont="1">
      <alignment horizontal="center" readingOrder="0"/>
    </xf>
    <xf borderId="27" fillId="11" fontId="21" numFmtId="164" xfId="0" applyAlignment="1" applyBorder="1" applyFont="1" applyNumberFormat="1">
      <alignment horizontal="center" readingOrder="0"/>
    </xf>
    <xf borderId="28" fillId="11" fontId="21" numFmtId="164" xfId="0" applyAlignment="1" applyBorder="1" applyFont="1" applyNumberFormat="1">
      <alignment horizontal="center" readingOrder="0"/>
    </xf>
    <xf borderId="28" fillId="11" fontId="21" numFmtId="164" xfId="0" applyAlignment="1" applyBorder="1" applyFont="1" applyNumberFormat="1">
      <alignment horizontal="center"/>
    </xf>
    <xf borderId="29" fillId="11" fontId="21" numFmtId="164" xfId="0" applyAlignment="1" applyBorder="1" applyFont="1" applyNumberFormat="1">
      <alignment horizontal="center"/>
    </xf>
    <xf borderId="30" fillId="11" fontId="21" numFmtId="164" xfId="0" applyAlignment="1" applyBorder="1" applyFont="1" applyNumberFormat="1">
      <alignment horizontal="center" readingOrder="0"/>
    </xf>
    <xf borderId="27" fillId="11" fontId="22" numFmtId="0" xfId="0" applyAlignment="1" applyBorder="1" applyFont="1">
      <alignment horizontal="center" readingOrder="0"/>
    </xf>
    <xf borderId="32" fillId="10" fontId="21" numFmtId="0" xfId="0" applyAlignment="1" applyBorder="1" applyFont="1">
      <alignment horizontal="center" readingOrder="0"/>
    </xf>
    <xf borderId="32" fillId="9" fontId="21" numFmtId="0" xfId="0" applyAlignment="1" applyBorder="1" applyFont="1">
      <alignment horizontal="center" readingOrder="0"/>
    </xf>
    <xf borderId="31" fillId="12" fontId="20" numFmtId="0" xfId="0" applyAlignment="1" applyBorder="1" applyFill="1" applyFont="1">
      <alignment horizontal="center"/>
    </xf>
    <xf borderId="27" fillId="12" fontId="21" numFmtId="0" xfId="0" applyAlignment="1" applyBorder="1" applyFont="1">
      <alignment horizontal="center" readingOrder="0"/>
    </xf>
    <xf borderId="27" fillId="12" fontId="21" numFmtId="164" xfId="0" applyAlignment="1" applyBorder="1" applyFont="1" applyNumberFormat="1">
      <alignment horizontal="center" readingOrder="0"/>
    </xf>
    <xf borderId="28" fillId="12" fontId="21" numFmtId="164" xfId="0" applyAlignment="1" applyBorder="1" applyFont="1" applyNumberFormat="1">
      <alignment horizontal="center" readingOrder="0"/>
    </xf>
    <xf borderId="28" fillId="12" fontId="21" numFmtId="164" xfId="0" applyAlignment="1" applyBorder="1" applyFont="1" applyNumberFormat="1">
      <alignment horizontal="center"/>
    </xf>
    <xf borderId="29" fillId="12" fontId="21" numFmtId="164" xfId="0" applyAlignment="1" applyBorder="1" applyFont="1" applyNumberFormat="1">
      <alignment horizontal="center"/>
    </xf>
    <xf borderId="30" fillId="12" fontId="21" numFmtId="164" xfId="0" applyAlignment="1" applyBorder="1" applyFont="1" applyNumberFormat="1">
      <alignment horizontal="center" readingOrder="0"/>
    </xf>
    <xf borderId="33" fillId="9" fontId="21" numFmtId="0" xfId="0" applyAlignment="1" applyBorder="1" applyFont="1">
      <alignment horizontal="center" readingOrder="0"/>
    </xf>
    <xf borderId="33" fillId="9" fontId="21" numFmtId="164" xfId="0" applyAlignment="1" applyBorder="1" applyFont="1" applyNumberFormat="1">
      <alignment horizontal="center" readingOrder="0"/>
    </xf>
    <xf borderId="34" fillId="9" fontId="21" numFmtId="164" xfId="0" applyAlignment="1" applyBorder="1" applyFont="1" applyNumberFormat="1">
      <alignment horizontal="center" readingOrder="0"/>
    </xf>
    <xf borderId="34" fillId="9" fontId="21" numFmtId="164" xfId="0" applyAlignment="1" applyBorder="1" applyFont="1" applyNumberFormat="1">
      <alignment horizontal="center"/>
    </xf>
    <xf borderId="35" fillId="9" fontId="21" numFmtId="164" xfId="0" applyAlignment="1" applyBorder="1" applyFont="1" applyNumberFormat="1">
      <alignment horizontal="center"/>
    </xf>
    <xf borderId="36" fillId="9" fontId="21" numFmtId="164" xfId="0" applyAlignment="1" applyBorder="1" applyFont="1" applyNumberFormat="1">
      <alignment horizontal="center" readingOrder="0"/>
    </xf>
    <xf borderId="37" fillId="9" fontId="21" numFmtId="0" xfId="0" applyAlignment="1" applyBorder="1" applyFont="1">
      <alignment horizontal="center" readingOrder="0"/>
    </xf>
    <xf borderId="37" fillId="9" fontId="21" numFmtId="164" xfId="0" applyAlignment="1" applyBorder="1" applyFont="1" applyNumberFormat="1">
      <alignment horizontal="center" readingOrder="0"/>
    </xf>
    <xf borderId="22" fillId="9" fontId="21" numFmtId="0" xfId="0" applyAlignment="1" applyBorder="1" applyFont="1">
      <alignment horizontal="center" readingOrder="0"/>
    </xf>
    <xf borderId="38" fillId="9" fontId="21" numFmtId="164" xfId="0" applyAlignment="1" applyBorder="1" applyFont="1" applyNumberFormat="1">
      <alignment horizontal="center" readingOrder="0"/>
    </xf>
    <xf borderId="38" fillId="9" fontId="21" numFmtId="164" xfId="0" applyAlignment="1" applyBorder="1" applyFont="1" applyNumberFormat="1">
      <alignment horizontal="center"/>
    </xf>
    <xf borderId="39" fillId="9" fontId="21" numFmtId="164" xfId="0" applyAlignment="1" applyBorder="1" applyFont="1" applyNumberFormat="1">
      <alignment horizontal="center"/>
    </xf>
    <xf borderId="40" fillId="9" fontId="21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9"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0A0303"/>
          <bgColor rgb="FF0A0303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border>
        <left style="thin">
          <color rgb="FF0A0303"/>
        </left>
        <right style="thin">
          <color rgb="FF0A0303"/>
        </right>
        <top style="thin">
          <color rgb="FF0A0303"/>
        </top>
        <bottom style="thin">
          <color rgb="FF0A0303"/>
        </bottom>
      </border>
    </dxf>
  </dxfs>
  <tableStyles count="1">
    <tableStyle count="4" pivot="0" name="Ingredients-style">
      <tableStyleElement dxfId="6" type="headerRow"/>
      <tableStyleElement dxfId="7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C52" displayName="Rien" name="Rien" id="1">
  <autoFilter ref="$B$2:$C$52"/>
  <tableColumns count="2">
    <tableColumn name="Ingrédient:" id="1"/>
    <tableColumn name="Prix:" id="2"/>
  </tableColumns>
  <tableStyleInfo name="Ingredie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1.63"/>
    <col customWidth="1" min="3" max="3" width="25.88"/>
    <col customWidth="1" min="4" max="4" width="3.88"/>
    <col customWidth="1" min="5" max="5" width="22.63"/>
    <col customWidth="1" min="6" max="6" width="3.88"/>
    <col customWidth="1" min="7" max="7" width="22.63"/>
    <col customWidth="1" min="8" max="8" width="75.0"/>
    <col hidden="1" min="9" max="26" width="12.6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2" t="s">
        <v>0</v>
      </c>
      <c r="C2" s="2" t="s">
        <v>1</v>
      </c>
      <c r="D2" s="3"/>
      <c r="E2" s="3"/>
      <c r="F2" s="3"/>
      <c r="G2" s="4"/>
      <c r="H2" s="1"/>
    </row>
    <row r="3" ht="18.75" customHeight="1">
      <c r="A3" s="1"/>
      <c r="B3" s="5" t="s">
        <v>2</v>
      </c>
      <c r="C3" s="6" t="str">
        <f>IFERROR(__xludf.DUMMYFUNCTION("FILTER(
  Recettes!$A$11:$A$85,
  IF(OR(B3="""", B3=""-""), TRUE,
    MMULT(--ISNUMBER(SEARCH(B3, Recettes!B11:L85)), TRANSPOSE(COLUMN(Recettes!B11:L11)^0)) &gt; 0
  )
  *
  IF(OR(B7="""", B7=""-""), TRUE,
    MMULT(--ISNUMBER(SEARCH(B7, Recettes!B11:L85)), "&amp;"TRANSPOSE(COLUMN(Recettes!B11:L11)^0)) &gt; 0
  )
)
"),"Homard rôti au beurre")</f>
        <v>Homard rôti au beurre</v>
      </c>
      <c r="D3" s="7"/>
      <c r="E3" s="7"/>
      <c r="F3" s="7"/>
      <c r="G3" s="8"/>
      <c r="H3" s="9" t="s">
        <v>3</v>
      </c>
    </row>
    <row r="4" ht="18.75" customHeight="1">
      <c r="A4" s="1"/>
      <c r="B4" s="10"/>
      <c r="C4" s="11" t="str">
        <f>IFERROR(__xludf.DUMMYFUNCTION("""COMPUTED_VALUE"""),"Risotto au Homard")</f>
        <v>Risotto au Homard</v>
      </c>
      <c r="D4" s="7"/>
      <c r="E4" s="7"/>
      <c r="F4" s="7"/>
      <c r="G4" s="8"/>
      <c r="H4" s="12" t="s">
        <v>4</v>
      </c>
    </row>
    <row r="5" ht="18.75" customHeight="1">
      <c r="A5" s="1"/>
      <c r="B5" s="10"/>
      <c r="C5" s="11"/>
      <c r="D5" s="7"/>
      <c r="E5" s="7"/>
      <c r="F5" s="7"/>
      <c r="G5" s="8"/>
      <c r="H5" s="13" t="s">
        <v>5</v>
      </c>
    </row>
    <row r="6" ht="18.75" customHeight="1">
      <c r="A6" s="1"/>
      <c r="B6" s="10"/>
      <c r="C6" s="11"/>
      <c r="D6" s="7"/>
      <c r="E6" s="7"/>
      <c r="F6" s="7"/>
      <c r="G6" s="8"/>
      <c r="H6" s="14"/>
    </row>
    <row r="7" ht="18.75" customHeight="1">
      <c r="A7" s="1"/>
      <c r="B7" s="10"/>
      <c r="C7" s="11"/>
      <c r="D7" s="7"/>
      <c r="E7" s="7"/>
      <c r="F7" s="7"/>
      <c r="G7" s="8"/>
      <c r="H7" s="14"/>
    </row>
    <row r="8" ht="18.75" customHeight="1">
      <c r="A8" s="1"/>
      <c r="B8" s="10"/>
      <c r="C8" s="11"/>
      <c r="D8" s="7"/>
      <c r="E8" s="7"/>
      <c r="F8" s="7"/>
      <c r="G8" s="8"/>
      <c r="H8" s="14"/>
    </row>
    <row r="9" ht="18.75" customHeight="1">
      <c r="A9" s="1"/>
      <c r="B9" s="10"/>
      <c r="C9" s="15"/>
      <c r="D9" s="7"/>
      <c r="E9" s="7"/>
      <c r="F9" s="7"/>
      <c r="G9" s="8"/>
      <c r="H9" s="16"/>
    </row>
    <row r="10" ht="18.75" customHeight="1">
      <c r="A10" s="1"/>
      <c r="B10" s="10"/>
      <c r="C10" s="15"/>
      <c r="D10" s="7"/>
      <c r="E10" s="7"/>
      <c r="F10" s="7"/>
      <c r="G10" s="8"/>
      <c r="H10" s="14"/>
    </row>
    <row r="11" ht="18.75" customHeight="1">
      <c r="A11" s="1"/>
      <c r="B11" s="10"/>
      <c r="C11" s="15"/>
      <c r="D11" s="7"/>
      <c r="E11" s="7"/>
      <c r="F11" s="7"/>
      <c r="G11" s="8"/>
      <c r="H11" s="14"/>
    </row>
    <row r="12" ht="18.75" customHeight="1">
      <c r="A12" s="1"/>
      <c r="B12" s="10"/>
      <c r="C12" s="15"/>
      <c r="D12" s="7"/>
      <c r="E12" s="7"/>
      <c r="F12" s="7"/>
      <c r="G12" s="8"/>
      <c r="H12" s="14"/>
    </row>
    <row r="13" ht="18.75" customHeight="1">
      <c r="A13" s="1"/>
      <c r="B13" s="10"/>
      <c r="C13" s="15"/>
      <c r="D13" s="7"/>
      <c r="E13" s="7"/>
      <c r="F13" s="7"/>
      <c r="G13" s="8"/>
      <c r="H13" s="17"/>
    </row>
    <row r="14" ht="18.75" customHeight="1">
      <c r="A14" s="1"/>
      <c r="B14" s="10"/>
      <c r="C14" s="15"/>
      <c r="D14" s="7"/>
      <c r="E14" s="7"/>
      <c r="F14" s="7"/>
      <c r="G14" s="8"/>
      <c r="H14" s="14"/>
    </row>
    <row r="15" ht="18.75" customHeight="1">
      <c r="A15" s="1"/>
      <c r="B15" s="10"/>
      <c r="C15" s="15"/>
      <c r="D15" s="7"/>
      <c r="E15" s="7"/>
      <c r="F15" s="7"/>
      <c r="G15" s="8"/>
      <c r="H15" s="14"/>
    </row>
    <row r="16" ht="18.75" customHeight="1">
      <c r="A16" s="1"/>
      <c r="B16" s="10"/>
      <c r="C16" s="15"/>
      <c r="D16" s="7"/>
      <c r="E16" s="7"/>
      <c r="F16" s="7"/>
      <c r="G16" s="8"/>
      <c r="H16" s="14"/>
    </row>
    <row r="17" ht="18.75" customHeight="1">
      <c r="A17" s="1"/>
      <c r="B17" s="10"/>
      <c r="C17" s="15"/>
      <c r="D17" s="7"/>
      <c r="E17" s="7"/>
      <c r="F17" s="7"/>
      <c r="G17" s="8"/>
      <c r="H17" s="14"/>
    </row>
    <row r="18" ht="18.75" customHeight="1">
      <c r="A18" s="1"/>
      <c r="B18" s="10"/>
      <c r="C18" s="15"/>
      <c r="D18" s="7"/>
      <c r="E18" s="7"/>
      <c r="F18" s="7"/>
      <c r="G18" s="8"/>
      <c r="H18" s="14"/>
    </row>
    <row r="19" ht="18.75" customHeight="1">
      <c r="A19" s="1"/>
      <c r="B19" s="10"/>
      <c r="C19" s="15"/>
      <c r="D19" s="7"/>
      <c r="E19" s="7"/>
      <c r="F19" s="7"/>
      <c r="G19" s="8"/>
      <c r="H19" s="14"/>
    </row>
    <row r="20">
      <c r="A20" s="1"/>
      <c r="B20" s="18" t="s">
        <v>6</v>
      </c>
      <c r="C20" s="19"/>
      <c r="D20" s="20" t="s">
        <v>0</v>
      </c>
      <c r="E20" s="21"/>
      <c r="F20" s="21"/>
      <c r="G20" s="22" t="s">
        <v>7</v>
      </c>
      <c r="H20" s="14"/>
    </row>
    <row r="21">
      <c r="A21" s="1"/>
      <c r="B21" s="10"/>
      <c r="C21" s="23"/>
      <c r="G21" s="24"/>
      <c r="H21" s="14"/>
    </row>
    <row r="22" ht="18.75" customHeight="1">
      <c r="A22" s="1"/>
      <c r="B22" s="5" t="s">
        <v>8</v>
      </c>
      <c r="C22" s="23"/>
      <c r="D22" s="25">
        <v>1.0</v>
      </c>
      <c r="E22" s="26" t="str">
        <f>VLOOKUP(B22,Recettes!$A$11:$L$85,2,FALSE)</f>
        <v>Saumon</v>
      </c>
      <c r="F22" s="27">
        <f>VLOOKUP(E22,Ingredients!$B$3:$C$44,2,FALSE)</f>
        <v>5</v>
      </c>
      <c r="G22" s="28">
        <f>VLOOKUP(B22,Recettes!$A$11:$N$85,14,FALSE)</f>
        <v>25</v>
      </c>
      <c r="H22" s="29" t="s">
        <v>9</v>
      </c>
    </row>
    <row r="23" ht="18.75" customHeight="1">
      <c r="A23" s="1"/>
      <c r="B23" s="10"/>
      <c r="C23" s="23"/>
      <c r="D23" s="25">
        <v>2.0</v>
      </c>
      <c r="E23" s="26" t="str">
        <f>VLOOKUP(B22,Recettes!$A$11:$L$85,4,FALSE)</f>
        <v>Oeuf</v>
      </c>
      <c r="F23" s="27">
        <f>VLOOKUP(E23,Ingredients!$B$3:$C$44,2,FALSE)</f>
        <v>5</v>
      </c>
      <c r="G23" s="24"/>
      <c r="H23" s="30" t="s">
        <v>10</v>
      </c>
    </row>
    <row r="24" ht="18.75" customHeight="1">
      <c r="A24" s="1"/>
      <c r="B24" s="10"/>
      <c r="C24" s="23"/>
      <c r="D24" s="25">
        <v>3.0</v>
      </c>
      <c r="E24" s="26" t="str">
        <f>VLOOKUP(B22,Recettes!$A$11:$L$85,6,FALSE)</f>
        <v>Farine</v>
      </c>
      <c r="F24" s="27">
        <f>VLOOKUP(E24,Ingredients!$B$3:$C$44,2,FALSE)</f>
        <v>5</v>
      </c>
      <c r="G24" s="24"/>
      <c r="H24" s="31" t="s">
        <v>11</v>
      </c>
    </row>
    <row r="25" ht="18.75" customHeight="1">
      <c r="A25" s="1"/>
      <c r="B25" s="10"/>
      <c r="C25" s="23"/>
      <c r="D25" s="25">
        <v>4.0</v>
      </c>
      <c r="E25" s="26" t="str">
        <f>VLOOKUP(B22,Recettes!$A$11:$L$85,8,FALSE)</f>
        <v>Lait</v>
      </c>
      <c r="F25" s="27">
        <f>VLOOKUP(E25,Ingredients!$B$3:$C$44,2,FALSE)</f>
        <v>5</v>
      </c>
      <c r="G25" s="24"/>
      <c r="H25" s="1"/>
    </row>
    <row r="26" ht="18.75" customHeight="1">
      <c r="A26" s="1"/>
      <c r="B26" s="10"/>
      <c r="C26" s="23"/>
      <c r="D26" s="25">
        <v>5.0</v>
      </c>
      <c r="E26" s="26" t="str">
        <f>VLOOKUP(B22,Recettes!$A$11:$L$85,10,FALSE)</f>
        <v>Fromage</v>
      </c>
      <c r="F26" s="27">
        <f>VLOOKUP(E26,Ingredients!$B$3:$C$44,2,FALSE)</f>
        <v>5</v>
      </c>
      <c r="G26" s="24"/>
      <c r="H26" s="1"/>
    </row>
    <row r="27" ht="18.75" customHeight="1">
      <c r="A27" s="1"/>
      <c r="B27" s="32"/>
      <c r="C27" s="33"/>
      <c r="D27" s="34">
        <v>6.0</v>
      </c>
      <c r="E27" s="35" t="str">
        <f>VLOOKUP(B22,Recettes!$A$11:$L$85,12,FALSE)</f>
        <v>-</v>
      </c>
      <c r="F27" s="36">
        <f>VLOOKUP(E27,Ingredients!$B$3:$C$44,2,FALSE)</f>
        <v>0</v>
      </c>
      <c r="G27" s="37"/>
      <c r="H27" s="1"/>
    </row>
    <row r="28">
      <c r="A28" s="1"/>
      <c r="B28" s="1"/>
      <c r="C28" s="1"/>
      <c r="D28" s="1"/>
      <c r="E28" s="1"/>
      <c r="F28" s="1"/>
      <c r="G28" s="1"/>
      <c r="H28" s="1"/>
    </row>
    <row r="29">
      <c r="A29" s="1"/>
      <c r="B29" s="1"/>
      <c r="C29" s="1"/>
      <c r="D29" s="1"/>
      <c r="E29" s="1"/>
      <c r="F29" s="1"/>
      <c r="G29" s="1"/>
      <c r="H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  <row r="32">
      <c r="A32" s="1"/>
      <c r="B32" s="1"/>
      <c r="C32" s="1"/>
      <c r="D32" s="1"/>
      <c r="E32" s="1"/>
      <c r="F32" s="1"/>
      <c r="G32" s="1"/>
      <c r="H32" s="1"/>
    </row>
    <row r="33">
      <c r="A33" s="1"/>
      <c r="B33" s="1"/>
      <c r="C33" s="1"/>
      <c r="D33" s="1"/>
      <c r="E33" s="1"/>
      <c r="F33" s="1"/>
      <c r="G33" s="1"/>
      <c r="H33" s="1"/>
    </row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</sheetData>
  <mergeCells count="24"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B20:C21"/>
    <mergeCell ref="D20:F21"/>
    <mergeCell ref="G20:G21"/>
    <mergeCell ref="B22:C27"/>
    <mergeCell ref="G22:G27"/>
    <mergeCell ref="C2:G2"/>
    <mergeCell ref="B3:B19"/>
    <mergeCell ref="C3:G3"/>
    <mergeCell ref="C4:G4"/>
    <mergeCell ref="C5:G5"/>
    <mergeCell ref="C6:G6"/>
    <mergeCell ref="C7:G7"/>
  </mergeCells>
  <conditionalFormatting sqref="G22:G28">
    <cfRule type="cellIs" dxfId="0" priority="1" operator="lessThan">
      <formula>20</formula>
    </cfRule>
  </conditionalFormatting>
  <conditionalFormatting sqref="G22:G28">
    <cfRule type="cellIs" dxfId="1" priority="2" operator="lessThan">
      <formula>25</formula>
    </cfRule>
  </conditionalFormatting>
  <conditionalFormatting sqref="G22:G28">
    <cfRule type="cellIs" dxfId="2" priority="3" operator="lessThan">
      <formula>30</formula>
    </cfRule>
  </conditionalFormatting>
  <conditionalFormatting sqref="G22:G28">
    <cfRule type="cellIs" dxfId="3" priority="4" operator="greaterThanOrEqual">
      <formula>30</formula>
    </cfRule>
  </conditionalFormatting>
  <dataValidations>
    <dataValidation type="list" allowBlank="1" showErrorMessage="1" sqref="B22">
      <formula1>Recettes!$A$11:$A$85</formula1>
    </dataValidation>
    <dataValidation type="list" allowBlank="1" showErrorMessage="1" sqref="B3">
      <formula1>Ingredients!$B$3:$B$43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88"/>
    <col customWidth="1" min="2" max="3" width="25.75"/>
    <col customWidth="1" min="4" max="4" width="3.88"/>
    <col customWidth="1" min="5" max="5" width="22.63"/>
    <col customWidth="1" min="6" max="6" width="3.88"/>
    <col customWidth="1" min="7" max="7" width="20.5"/>
    <col customWidth="1" min="8" max="8" width="5.5"/>
    <col customWidth="1" min="9" max="10" width="23.13"/>
    <col customWidth="1" min="11" max="11" width="5.63"/>
    <col customWidth="1" min="12" max="12" width="25.0"/>
    <col customWidth="1" min="13" max="13" width="5.0"/>
    <col customWidth="1" min="14" max="14" width="20.5"/>
    <col customWidth="1" min="15" max="15" width="21.25"/>
  </cols>
  <sheetData>
    <row r="1">
      <c r="A1" s="38"/>
      <c r="B1" s="38"/>
      <c r="C1" s="38"/>
      <c r="D1" s="38"/>
      <c r="E1" s="38"/>
      <c r="F1" s="38"/>
      <c r="G1" s="38"/>
      <c r="H1" s="39"/>
      <c r="I1" s="38"/>
      <c r="J1" s="38"/>
      <c r="K1" s="38"/>
      <c r="L1" s="38"/>
      <c r="M1" s="38"/>
      <c r="N1" s="38"/>
      <c r="O1" s="40"/>
    </row>
    <row r="2">
      <c r="A2" s="38"/>
      <c r="B2" s="18" t="s">
        <v>6</v>
      </c>
      <c r="C2" s="19"/>
      <c r="D2" s="20" t="s">
        <v>0</v>
      </c>
      <c r="E2" s="21"/>
      <c r="F2" s="21"/>
      <c r="G2" s="22" t="s">
        <v>7</v>
      </c>
      <c r="H2" s="40"/>
      <c r="I2" s="41" t="s">
        <v>6</v>
      </c>
      <c r="J2" s="19"/>
      <c r="K2" s="42" t="s">
        <v>0</v>
      </c>
      <c r="L2" s="21"/>
      <c r="M2" s="21"/>
      <c r="N2" s="43" t="s">
        <v>7</v>
      </c>
      <c r="O2" s="40"/>
    </row>
    <row r="3" ht="18.75" customHeight="1">
      <c r="A3" s="44"/>
      <c r="B3" s="10"/>
      <c r="C3" s="23"/>
      <c r="G3" s="24"/>
      <c r="H3" s="40"/>
      <c r="I3" s="10"/>
      <c r="J3" s="23"/>
      <c r="N3" s="24"/>
      <c r="O3" s="39"/>
    </row>
    <row r="4" ht="18.75" customHeight="1">
      <c r="A4" s="38"/>
      <c r="B4" s="5" t="s">
        <v>12</v>
      </c>
      <c r="C4" s="23"/>
      <c r="D4" s="25">
        <v>1.0</v>
      </c>
      <c r="E4" s="26" t="str">
        <f>VLOOKUP(B4,Recettes!$A$11:$L$85,2,FALSE)</f>
        <v>Cuisse de volaille</v>
      </c>
      <c r="F4" s="45">
        <f>VLOOKUP(E4,Ingredients!$B$3:$C$44,2,FALSE)</f>
        <v>8</v>
      </c>
      <c r="G4" s="28">
        <f>VLOOKUP(B4,Recettes!$A$11:$N$85,14,FALSE)</f>
        <v>23</v>
      </c>
      <c r="H4" s="40"/>
      <c r="I4" s="5" t="s">
        <v>13</v>
      </c>
      <c r="J4" s="23"/>
      <c r="K4" s="46">
        <v>1.0</v>
      </c>
      <c r="L4" s="26" t="str">
        <f>VLOOKUP(I4,Recettes!$A$11:$L$84,2,FALSE)</f>
        <v>Eau</v>
      </c>
      <c r="M4" s="45">
        <f>VLOOKUP(L4,Ingredients!$B$3:$C$44,2,FALSE)</f>
        <v>3</v>
      </c>
      <c r="N4" s="47">
        <f>VLOOKUP(I4,Recettes!$A$11:$N$84,14,FALSE)</f>
        <v>15</v>
      </c>
      <c r="O4" s="40"/>
    </row>
    <row r="5" ht="18.75" customHeight="1">
      <c r="A5" s="38"/>
      <c r="B5" s="10"/>
      <c r="C5" s="23"/>
      <c r="D5" s="25">
        <v>2.0</v>
      </c>
      <c r="E5" s="26" t="str">
        <f>VLOOKUP(B4,Recettes!$A$11:$L$85,4,FALSE)</f>
        <v>Farine</v>
      </c>
      <c r="F5" s="45">
        <f>VLOOKUP(E5,Ingredients!$B$3:$C$44,2,FALSE)</f>
        <v>5</v>
      </c>
      <c r="G5" s="24"/>
      <c r="H5" s="40"/>
      <c r="I5" s="10"/>
      <c r="J5" s="23"/>
      <c r="K5" s="46">
        <v>2.0</v>
      </c>
      <c r="L5" s="26" t="str">
        <f>VLOOKUP(I4,Recettes!$A$11:$L$84,4,FALSE)</f>
        <v>Citron</v>
      </c>
      <c r="M5" s="45">
        <f>VLOOKUP(L5,Ingredients!$B$3:$C$44,2,FALSE)</f>
        <v>5</v>
      </c>
      <c r="N5" s="24"/>
      <c r="O5" s="40"/>
    </row>
    <row r="6" ht="18.75" customHeight="1">
      <c r="A6" s="38"/>
      <c r="B6" s="10"/>
      <c r="C6" s="23"/>
      <c r="D6" s="25">
        <v>3.0</v>
      </c>
      <c r="E6" s="26" t="str">
        <f>VLOOKUP(B4,Recettes!$A$11:$L$85,6,FALSE)</f>
        <v>Lait</v>
      </c>
      <c r="F6" s="45">
        <f>VLOOKUP(E6,Ingredients!$B$3:$C$44,2,FALSE)</f>
        <v>5</v>
      </c>
      <c r="G6" s="24"/>
      <c r="H6" s="40"/>
      <c r="I6" s="10"/>
      <c r="J6" s="23"/>
      <c r="K6" s="46">
        <v>3.0</v>
      </c>
      <c r="L6" s="26" t="str">
        <f>VLOOKUP(I4,Recettes!$A$11:$L$84,6,FALSE)</f>
        <v>Sucre</v>
      </c>
      <c r="M6" s="45">
        <f>VLOOKUP(L6,Ingredients!$B$3:$C$44,2,FALSE)</f>
        <v>7</v>
      </c>
      <c r="N6" s="24"/>
      <c r="O6" s="40"/>
    </row>
    <row r="7" ht="18.75" customHeight="1">
      <c r="A7" s="38"/>
      <c r="B7" s="10"/>
      <c r="C7" s="23"/>
      <c r="D7" s="25">
        <v>4.0</v>
      </c>
      <c r="E7" s="26" t="str">
        <f>VLOOKUP(B4,Recettes!$A$11:$L$85,8,FALSE)</f>
        <v>Oeuf</v>
      </c>
      <c r="F7" s="45">
        <f>VLOOKUP(E7,Ingredients!$B$3:$C$44,2,FALSE)</f>
        <v>5</v>
      </c>
      <c r="G7" s="24"/>
      <c r="H7" s="40"/>
      <c r="I7" s="10"/>
      <c r="J7" s="23"/>
      <c r="K7" s="46">
        <v>4.0</v>
      </c>
      <c r="L7" s="26" t="str">
        <f>VLOOKUP(I4,Recettes!$A$11:$L$84,8,FALSE)</f>
        <v>-</v>
      </c>
      <c r="M7" s="45">
        <f>VLOOKUP(L7,Ingredients!$B$3:$C$44,2,FALSE)</f>
        <v>0</v>
      </c>
      <c r="N7" s="24"/>
      <c r="O7" s="40"/>
    </row>
    <row r="8" ht="18.75" customHeight="1">
      <c r="A8" s="38"/>
      <c r="B8" s="10"/>
      <c r="C8" s="23"/>
      <c r="D8" s="25">
        <v>5.0</v>
      </c>
      <c r="E8" s="26" t="str">
        <f>VLOOKUP(B4,Recettes!$A$11:$L$85,10,FALSE)</f>
        <v>-</v>
      </c>
      <c r="F8" s="45">
        <f>VLOOKUP(E8,Ingredients!$B$3:$C$44,2,FALSE)</f>
        <v>0</v>
      </c>
      <c r="G8" s="24"/>
      <c r="H8" s="40"/>
      <c r="I8" s="10"/>
      <c r="J8" s="23"/>
      <c r="K8" s="46">
        <v>5.0</v>
      </c>
      <c r="L8" s="26" t="str">
        <f>VLOOKUP(I4,Recettes!$A$11:$L$84,10,FALSE)</f>
        <v>-</v>
      </c>
      <c r="M8" s="45">
        <f>VLOOKUP(L8,Ingredients!$B$3:$C$44,2,FALSE)</f>
        <v>0</v>
      </c>
      <c r="N8" s="24"/>
      <c r="O8" s="40"/>
    </row>
    <row r="9" ht="18.75" customHeight="1">
      <c r="A9" s="38"/>
      <c r="B9" s="32"/>
      <c r="C9" s="33"/>
      <c r="D9" s="34">
        <v>6.0</v>
      </c>
      <c r="E9" s="35" t="str">
        <f>VLOOKUP(B4,Recettes!$A$11:$L$85,12,FALSE)</f>
        <v>-</v>
      </c>
      <c r="F9" s="48">
        <f>VLOOKUP(E9,Ingredients!$B$3:$C$44,2,FALSE)</f>
        <v>0</v>
      </c>
      <c r="G9" s="37"/>
      <c r="H9" s="39"/>
      <c r="I9" s="32"/>
      <c r="J9" s="33"/>
      <c r="K9" s="49">
        <v>6.0</v>
      </c>
      <c r="L9" s="35" t="str">
        <f>VLOOKUP(I4,Recettes!$A$11:$L$84,12,FALSE)</f>
        <v>-</v>
      </c>
      <c r="M9" s="48">
        <f>VLOOKUP(L9,Ingredients!$B$3:$C$44,2,FALSE)</f>
        <v>0</v>
      </c>
      <c r="N9" s="37"/>
      <c r="O9" s="40"/>
    </row>
    <row r="10" ht="18.75" customHeight="1">
      <c r="A10" s="38"/>
      <c r="B10" s="18" t="s">
        <v>6</v>
      </c>
      <c r="C10" s="19"/>
      <c r="D10" s="20" t="s">
        <v>0</v>
      </c>
      <c r="E10" s="21"/>
      <c r="F10" s="21"/>
      <c r="G10" s="22" t="s">
        <v>7</v>
      </c>
      <c r="H10" s="39"/>
      <c r="I10" s="41" t="s">
        <v>6</v>
      </c>
      <c r="J10" s="19"/>
      <c r="K10" s="42" t="s">
        <v>0</v>
      </c>
      <c r="L10" s="21"/>
      <c r="M10" s="21"/>
      <c r="N10" s="43" t="s">
        <v>7</v>
      </c>
      <c r="O10" s="39"/>
    </row>
    <row r="11" ht="18.75" customHeight="1">
      <c r="A11" s="38"/>
      <c r="B11" s="10"/>
      <c r="C11" s="23"/>
      <c r="G11" s="24"/>
      <c r="H11" s="39"/>
      <c r="I11" s="10"/>
      <c r="J11" s="23"/>
      <c r="N11" s="24"/>
      <c r="O11" s="39"/>
    </row>
    <row r="12" ht="18.75" customHeight="1">
      <c r="A12" s="38"/>
      <c r="B12" s="5" t="s">
        <v>14</v>
      </c>
      <c r="C12" s="23"/>
      <c r="D12" s="25">
        <v>1.0</v>
      </c>
      <c r="E12" s="26" t="str">
        <f>VLOOKUP(B12,Recettes!$A$11:$L$85,2,FALSE)</f>
        <v>Côte de porc</v>
      </c>
      <c r="F12" s="45">
        <f>VLOOKUP(E12,Ingredients!$B$3:$C$44,2,FALSE)</f>
        <v>8</v>
      </c>
      <c r="G12" s="28">
        <f>VLOOKUP(B12,Recettes!$A$11:$N$85,14,FALSE)</f>
        <v>18</v>
      </c>
      <c r="H12" s="40"/>
      <c r="I12" s="5" t="s">
        <v>15</v>
      </c>
      <c r="J12" s="23"/>
      <c r="K12" s="46">
        <v>1.0</v>
      </c>
      <c r="L12" s="26" t="str">
        <f>VLOOKUP(I12,Recettes!$A$11:$L$84,2,FALSE)</f>
        <v>Cuisse de volaille</v>
      </c>
      <c r="M12" s="45">
        <f>VLOOKUP(L12,Ingredients!$B$3:$C$44,2,FALSE)</f>
        <v>8</v>
      </c>
      <c r="N12" s="50">
        <f>VLOOKUP(I12,Recettes!$A$11:$N$84,14,FALSE)</f>
        <v>18</v>
      </c>
      <c r="O12" s="40"/>
    </row>
    <row r="13" ht="18.75" customHeight="1">
      <c r="A13" s="38"/>
      <c r="B13" s="10"/>
      <c r="C13" s="23"/>
      <c r="D13" s="25">
        <v>2.0</v>
      </c>
      <c r="E13" s="26" t="str">
        <f>VLOOKUP(B12,Recettes!$A$11:$L$85,4,FALSE)</f>
        <v>Haricot</v>
      </c>
      <c r="F13" s="45">
        <f>VLOOKUP(E13,Ingredients!$B$3:$C$44,2,FALSE)</f>
        <v>5</v>
      </c>
      <c r="G13" s="24"/>
      <c r="H13" s="40"/>
      <c r="I13" s="10"/>
      <c r="J13" s="23"/>
      <c r="K13" s="46">
        <v>2.0</v>
      </c>
      <c r="L13" s="26" t="str">
        <f>VLOOKUP(I12,Recettes!$A$11:$L$84,4,FALSE)</f>
        <v>Riz</v>
      </c>
      <c r="M13" s="45">
        <f>VLOOKUP(L13,Ingredients!$B$3:$C$44,2,FALSE)</f>
        <v>5</v>
      </c>
      <c r="N13" s="24"/>
      <c r="O13" s="40"/>
    </row>
    <row r="14" ht="18.75" customHeight="1">
      <c r="A14" s="38"/>
      <c r="B14" s="10"/>
      <c r="C14" s="23"/>
      <c r="D14" s="25">
        <v>3.0</v>
      </c>
      <c r="E14" s="26" t="str">
        <f>VLOOKUP(B12,Recettes!$A$11:$L$85,6,FALSE)</f>
        <v>Pomme de Terre</v>
      </c>
      <c r="F14" s="45">
        <f>VLOOKUP(E14,Ingredients!$B$3:$C$44,2,FALSE)</f>
        <v>5</v>
      </c>
      <c r="G14" s="24"/>
      <c r="H14" s="40"/>
      <c r="I14" s="10"/>
      <c r="J14" s="23"/>
      <c r="K14" s="46">
        <v>3.0</v>
      </c>
      <c r="L14" s="26" t="str">
        <f>VLOOKUP(I12,Recettes!$A$11:$L$84,6,FALSE)</f>
        <v>Tomate</v>
      </c>
      <c r="M14" s="45">
        <f>VLOOKUP(L14,Ingredients!$B$3:$C$44,2,FALSE)</f>
        <v>5</v>
      </c>
      <c r="N14" s="24"/>
      <c r="O14" s="40"/>
    </row>
    <row r="15" ht="18.75" customHeight="1">
      <c r="A15" s="38"/>
      <c r="B15" s="10"/>
      <c r="C15" s="23"/>
      <c r="D15" s="25">
        <v>4.0</v>
      </c>
      <c r="E15" s="26" t="str">
        <f>VLOOKUP(B12,Recettes!$A$11:$L$85,8,FALSE)</f>
        <v>-</v>
      </c>
      <c r="F15" s="45">
        <f>VLOOKUP(E15,Ingredients!$B$3:$C$44,2,FALSE)</f>
        <v>0</v>
      </c>
      <c r="G15" s="24"/>
      <c r="H15" s="40"/>
      <c r="I15" s="10"/>
      <c r="J15" s="23"/>
      <c r="K15" s="46">
        <v>4.0</v>
      </c>
      <c r="L15" s="26" t="str">
        <f>VLOOKUP(I12,Recettes!$A$11:$L$84,8,FALSE)</f>
        <v>-</v>
      </c>
      <c r="M15" s="45">
        <f>VLOOKUP(L15,Ingredients!$B$3:$C$44,2,FALSE)</f>
        <v>0</v>
      </c>
      <c r="N15" s="24"/>
      <c r="O15" s="39"/>
    </row>
    <row r="16" ht="18.75" customHeight="1">
      <c r="A16" s="38"/>
      <c r="B16" s="10"/>
      <c r="C16" s="23"/>
      <c r="D16" s="25">
        <v>5.0</v>
      </c>
      <c r="E16" s="26" t="str">
        <f>VLOOKUP(B12,Recettes!$A$11:$L$85,10,FALSE)</f>
        <v>-</v>
      </c>
      <c r="F16" s="45">
        <f>VLOOKUP(E16,Ingredients!$B$3:$C$44,2,FALSE)</f>
        <v>0</v>
      </c>
      <c r="G16" s="24"/>
      <c r="H16" s="40"/>
      <c r="I16" s="10"/>
      <c r="J16" s="23"/>
      <c r="K16" s="46">
        <v>5.0</v>
      </c>
      <c r="L16" s="26" t="str">
        <f>VLOOKUP(I12,Recettes!$A$11:$L$84,10,FALSE)</f>
        <v>-</v>
      </c>
      <c r="M16" s="45">
        <f>VLOOKUP(L16,Ingredients!$B$3:$C$44,2,FALSE)</f>
        <v>0</v>
      </c>
      <c r="N16" s="24"/>
      <c r="O16" s="39"/>
    </row>
    <row r="17" ht="18.75" customHeight="1">
      <c r="A17" s="38"/>
      <c r="B17" s="32"/>
      <c r="C17" s="33"/>
      <c r="D17" s="34">
        <v>6.0</v>
      </c>
      <c r="E17" s="35" t="str">
        <f>VLOOKUP(B12,Recettes!$A$11:$L$85,12,FALSE)</f>
        <v>-</v>
      </c>
      <c r="F17" s="48">
        <f>VLOOKUP(E17,Ingredients!$B$3:$C$44,2,FALSE)</f>
        <v>0</v>
      </c>
      <c r="G17" s="37"/>
      <c r="H17" s="40"/>
      <c r="I17" s="32"/>
      <c r="J17" s="33"/>
      <c r="K17" s="49">
        <v>6.0</v>
      </c>
      <c r="L17" s="35" t="str">
        <f>VLOOKUP(I12,Recettes!$A$11:$L$84,12,FALSE)</f>
        <v>-</v>
      </c>
      <c r="M17" s="48">
        <f>VLOOKUP(L17,Ingredients!$B$3:$C$44,2,FALSE)</f>
        <v>0</v>
      </c>
      <c r="N17" s="37"/>
      <c r="O17" s="39"/>
    </row>
    <row r="18" ht="18.75" customHeight="1">
      <c r="A18" s="38"/>
      <c r="B18" s="18" t="s">
        <v>6</v>
      </c>
      <c r="C18" s="19"/>
      <c r="D18" s="20" t="s">
        <v>0</v>
      </c>
      <c r="E18" s="21"/>
      <c r="F18" s="21"/>
      <c r="G18" s="22" t="s">
        <v>7</v>
      </c>
      <c r="H18" s="39"/>
      <c r="I18" s="41" t="s">
        <v>6</v>
      </c>
      <c r="J18" s="19"/>
      <c r="K18" s="42" t="s">
        <v>0</v>
      </c>
      <c r="L18" s="21"/>
      <c r="M18" s="21"/>
      <c r="N18" s="43" t="s">
        <v>7</v>
      </c>
      <c r="O18" s="39"/>
    </row>
    <row r="19" ht="18.75" customHeight="1">
      <c r="A19" s="38"/>
      <c r="B19" s="10"/>
      <c r="C19" s="23"/>
      <c r="G19" s="24"/>
      <c r="H19" s="39"/>
      <c r="I19" s="10"/>
      <c r="J19" s="23"/>
      <c r="N19" s="24"/>
      <c r="O19" s="39"/>
    </row>
    <row r="20">
      <c r="A20" s="38"/>
      <c r="B20" s="5" t="s">
        <v>16</v>
      </c>
      <c r="C20" s="23"/>
      <c r="D20" s="25">
        <v>1.0</v>
      </c>
      <c r="E20" s="26" t="str">
        <f>VLOOKUP(B20,Recettes!$A$11:$L$85,2,FALSE)</f>
        <v>Pomme de Terre</v>
      </c>
      <c r="F20" s="45">
        <f>VLOOKUP(E20,Ingredients!$B$3:$C$44,2,FALSE)</f>
        <v>5</v>
      </c>
      <c r="G20" s="28">
        <f>VLOOKUP(B20,Recettes!$A$11:$N$85,14,FALSE)</f>
        <v>18</v>
      </c>
      <c r="H20" s="39"/>
      <c r="I20" s="5" t="s">
        <v>17</v>
      </c>
      <c r="J20" s="23"/>
      <c r="K20" s="46">
        <v>1.0</v>
      </c>
      <c r="L20" s="26" t="str">
        <f>VLOOKUP(I20,Recettes!$A$11:$L$84,2,FALSE)</f>
        <v>Cuisse de volaille</v>
      </c>
      <c r="M20" s="45">
        <f>VLOOKUP(L20,Ingredients!$B$3:$C$44,2,FALSE)</f>
        <v>8</v>
      </c>
      <c r="N20" s="50">
        <f>VLOOKUP(I20,Recettes!$A$11:$N$84,14,FALSE)</f>
        <v>18</v>
      </c>
      <c r="O20" s="40"/>
    </row>
    <row r="21">
      <c r="A21" s="38"/>
      <c r="B21" s="10"/>
      <c r="C21" s="23"/>
      <c r="D21" s="25">
        <v>2.0</v>
      </c>
      <c r="E21" s="26" t="str">
        <f>VLOOKUP(B20,Recettes!$A$11:$L$85,4,FALSE)</f>
        <v>Lait</v>
      </c>
      <c r="F21" s="45">
        <f>VLOOKUP(E21,Ingredients!$B$3:$C$44,2,FALSE)</f>
        <v>5</v>
      </c>
      <c r="G21" s="24"/>
      <c r="H21" s="40"/>
      <c r="I21" s="10"/>
      <c r="J21" s="23"/>
      <c r="K21" s="46">
        <v>2.0</v>
      </c>
      <c r="L21" s="26" t="str">
        <f>VLOOKUP(I20,Recettes!$A$11:$L$84,4,FALSE)</f>
        <v>Riz</v>
      </c>
      <c r="M21" s="45">
        <f>VLOOKUP(L21,Ingredients!$B$3:$C$44,2,FALSE)</f>
        <v>5</v>
      </c>
      <c r="N21" s="24"/>
      <c r="O21" s="40"/>
    </row>
    <row r="22" ht="18.75" customHeight="1">
      <c r="A22" s="38"/>
      <c r="B22" s="10"/>
      <c r="C22" s="23"/>
      <c r="D22" s="25">
        <v>3.0</v>
      </c>
      <c r="E22" s="26" t="str">
        <f>VLOOKUP(B20,Recettes!$A$11:$L$85,6,FALSE)</f>
        <v>Steack haché</v>
      </c>
      <c r="F22" s="45">
        <f>VLOOKUP(E22,Ingredients!$B$3:$C$44,2,FALSE)</f>
        <v>8</v>
      </c>
      <c r="G22" s="24"/>
      <c r="H22" s="40"/>
      <c r="I22" s="10"/>
      <c r="J22" s="23"/>
      <c r="K22" s="46">
        <v>3.0</v>
      </c>
      <c r="L22" s="26" t="str">
        <f>VLOOKUP(I20,Recettes!$A$11:$L$84,6,FALSE)</f>
        <v>Lait</v>
      </c>
      <c r="M22" s="45">
        <f>VLOOKUP(L22,Ingredients!$B$3:$C$44,2,FALSE)</f>
        <v>5</v>
      </c>
      <c r="N22" s="24"/>
      <c r="O22" s="40"/>
    </row>
    <row r="23" ht="18.75" customHeight="1">
      <c r="A23" s="38"/>
      <c r="B23" s="10"/>
      <c r="C23" s="23"/>
      <c r="D23" s="25">
        <v>4.0</v>
      </c>
      <c r="E23" s="26" t="str">
        <f>VLOOKUP(B20,Recettes!$A$11:$L$85,8,FALSE)</f>
        <v>-</v>
      </c>
      <c r="F23" s="45">
        <f>VLOOKUP(E23,Ingredients!$B$3:$C$44,2,FALSE)</f>
        <v>0</v>
      </c>
      <c r="G23" s="24"/>
      <c r="H23" s="39"/>
      <c r="I23" s="10"/>
      <c r="J23" s="23"/>
      <c r="K23" s="46">
        <v>4.0</v>
      </c>
      <c r="L23" s="26" t="str">
        <f>VLOOKUP(I20,Recettes!$A$11:$L$84,8,FALSE)</f>
        <v>-</v>
      </c>
      <c r="M23" s="45">
        <f>VLOOKUP(L23,Ingredients!$B$3:$C$44,2,FALSE)</f>
        <v>0</v>
      </c>
      <c r="N23" s="24"/>
      <c r="O23" s="39"/>
    </row>
    <row r="24" ht="18.75" customHeight="1">
      <c r="A24" s="38"/>
      <c r="B24" s="10"/>
      <c r="C24" s="23"/>
      <c r="D24" s="25">
        <v>5.0</v>
      </c>
      <c r="E24" s="26" t="str">
        <f>VLOOKUP(B20,Recettes!$A$11:$L$85,10,FALSE)</f>
        <v>-</v>
      </c>
      <c r="F24" s="45">
        <f>VLOOKUP(E24,Ingredients!$B$3:$C$44,2,FALSE)</f>
        <v>0</v>
      </c>
      <c r="G24" s="24"/>
      <c r="H24" s="39"/>
      <c r="I24" s="10"/>
      <c r="J24" s="23"/>
      <c r="K24" s="46">
        <v>5.0</v>
      </c>
      <c r="L24" s="26" t="str">
        <f>VLOOKUP(I20,Recettes!$A$11:$L$84,10,FALSE)</f>
        <v>-</v>
      </c>
      <c r="M24" s="45">
        <f>VLOOKUP(L24,Ingredients!$B$3:$C$44,2,FALSE)</f>
        <v>0</v>
      </c>
      <c r="N24" s="24"/>
      <c r="O24" s="39"/>
    </row>
    <row r="25" ht="18.75" customHeight="1">
      <c r="A25" s="38"/>
      <c r="B25" s="32"/>
      <c r="C25" s="33"/>
      <c r="D25" s="34">
        <v>6.0</v>
      </c>
      <c r="E25" s="35" t="str">
        <f>VLOOKUP(B20,Recettes!$A$11:$L$85,12,FALSE)</f>
        <v>-</v>
      </c>
      <c r="F25" s="48">
        <f>VLOOKUP(E25,Ingredients!$B$3:$C$44,2,FALSE)</f>
        <v>0</v>
      </c>
      <c r="G25" s="37"/>
      <c r="H25" s="39"/>
      <c r="I25" s="32"/>
      <c r="J25" s="33"/>
      <c r="K25" s="49">
        <v>6.0</v>
      </c>
      <c r="L25" s="35" t="str">
        <f>VLOOKUP(I20,Recettes!$A$11:$L$84,12,FALSE)</f>
        <v>-</v>
      </c>
      <c r="M25" s="48">
        <f>VLOOKUP(L25,Ingredients!$B$3:$C$44,2,FALSE)</f>
        <v>0</v>
      </c>
      <c r="N25" s="37"/>
      <c r="O25" s="39"/>
    </row>
    <row r="26" ht="18.75" customHeight="1">
      <c r="A26" s="38"/>
      <c r="B26" s="18" t="s">
        <v>6</v>
      </c>
      <c r="C26" s="19"/>
      <c r="D26" s="20" t="s">
        <v>0</v>
      </c>
      <c r="E26" s="21"/>
      <c r="F26" s="21"/>
      <c r="G26" s="22" t="s">
        <v>7</v>
      </c>
      <c r="H26" s="39"/>
      <c r="I26" s="41" t="s">
        <v>6</v>
      </c>
      <c r="J26" s="19"/>
      <c r="K26" s="42" t="s">
        <v>0</v>
      </c>
      <c r="L26" s="21"/>
      <c r="M26" s="21"/>
      <c r="N26" s="43" t="s">
        <v>7</v>
      </c>
      <c r="O26" s="39"/>
    </row>
    <row r="27" ht="18.75" customHeight="1">
      <c r="A27" s="38"/>
      <c r="B27" s="10"/>
      <c r="C27" s="23"/>
      <c r="G27" s="24"/>
      <c r="H27" s="39"/>
      <c r="I27" s="10"/>
      <c r="J27" s="23"/>
      <c r="N27" s="24"/>
      <c r="O27" s="39"/>
    </row>
    <row r="28">
      <c r="A28" s="38"/>
      <c r="B28" s="5" t="s">
        <v>18</v>
      </c>
      <c r="C28" s="23"/>
      <c r="D28" s="25">
        <v>1.0</v>
      </c>
      <c r="E28" s="26" t="str">
        <f>VLOOKUP(B28,Recettes!$A$11:$L$85,2,FALSE)</f>
        <v>Tomate</v>
      </c>
      <c r="F28" s="45">
        <f>VLOOKUP(E28,Ingredients!$B$3:$C$44,2,FALSE)</f>
        <v>5</v>
      </c>
      <c r="G28" s="28">
        <f>VLOOKUP(B28,Recettes!$A$11:$N$85,14,FALSE)</f>
        <v>15</v>
      </c>
      <c r="H28" s="39"/>
      <c r="I28" s="5" t="s">
        <v>19</v>
      </c>
      <c r="J28" s="23"/>
      <c r="K28" s="46">
        <v>1.0</v>
      </c>
      <c r="L28" s="26" t="str">
        <f>VLOOKUP(I28,Recettes!$A$11:$L$84,2,FALSE)</f>
        <v>Steack haché</v>
      </c>
      <c r="M28" s="45">
        <f>VLOOKUP(L28,Ingredients!$B$3:$C$44,2,FALSE)</f>
        <v>8</v>
      </c>
      <c r="N28" s="51">
        <f>VLOOKUP(I28,Recettes!$A$11:$N$84,14,FALSE)</f>
        <v>18</v>
      </c>
      <c r="O28" s="40"/>
    </row>
    <row r="29">
      <c r="A29" s="38"/>
      <c r="B29" s="10"/>
      <c r="C29" s="23"/>
      <c r="D29" s="25">
        <v>2.0</v>
      </c>
      <c r="E29" s="26" t="str">
        <f>VLOOKUP(B28,Recettes!$A$11:$L$85,4,FALSE)</f>
        <v>Haricot</v>
      </c>
      <c r="F29" s="45">
        <f>VLOOKUP(E29,Ingredients!$B$3:$C$44,2,FALSE)</f>
        <v>5</v>
      </c>
      <c r="G29" s="24"/>
      <c r="H29" s="40"/>
      <c r="I29" s="10"/>
      <c r="J29" s="23"/>
      <c r="K29" s="46">
        <v>2.0</v>
      </c>
      <c r="L29" s="26" t="str">
        <f>VLOOKUP(I28,Recettes!$A$11:$L$84,4,FALSE)</f>
        <v>Frite</v>
      </c>
      <c r="M29" s="45">
        <f>VLOOKUP(L29,Ingredients!$B$3:$C$44,2,FALSE)</f>
        <v>5</v>
      </c>
      <c r="N29" s="24"/>
      <c r="O29" s="40"/>
    </row>
    <row r="30">
      <c r="A30" s="38"/>
      <c r="B30" s="10"/>
      <c r="C30" s="23"/>
      <c r="D30" s="25">
        <v>3.0</v>
      </c>
      <c r="E30" s="26" t="str">
        <f>VLOOKUP(B28,Recettes!$A$11:$L$85,6,FALSE)</f>
        <v>Oignon</v>
      </c>
      <c r="F30" s="45">
        <f>VLOOKUP(E30,Ingredients!$B$3:$C$44,2,FALSE)</f>
        <v>5</v>
      </c>
      <c r="G30" s="24"/>
      <c r="H30" s="40"/>
      <c r="I30" s="10"/>
      <c r="J30" s="23"/>
      <c r="K30" s="46">
        <v>3.0</v>
      </c>
      <c r="L30" s="26" t="str">
        <f>VLOOKUP(I28,Recettes!$A$11:$L$84,6,FALSE)</f>
        <v>Salade</v>
      </c>
      <c r="M30" s="45">
        <f>VLOOKUP(L30,Ingredients!$B$3:$C$44,2,FALSE)</f>
        <v>5</v>
      </c>
      <c r="N30" s="24"/>
      <c r="O30" s="40"/>
    </row>
    <row r="31">
      <c r="A31" s="38"/>
      <c r="B31" s="10"/>
      <c r="C31" s="23"/>
      <c r="D31" s="25">
        <v>4.0</v>
      </c>
      <c r="E31" s="26" t="str">
        <f>VLOOKUP(B28,Recettes!$A$11:$L$85,8,FALSE)</f>
        <v>-</v>
      </c>
      <c r="F31" s="45">
        <f>VLOOKUP(E31,Ingredients!$B$3:$C$44,2,FALSE)</f>
        <v>0</v>
      </c>
      <c r="G31" s="24"/>
      <c r="H31" s="39"/>
      <c r="I31" s="10"/>
      <c r="J31" s="23"/>
      <c r="K31" s="46">
        <v>4.0</v>
      </c>
      <c r="L31" s="26" t="str">
        <f>VLOOKUP(I28,Recettes!$A$11:$L$84,8,FALSE)</f>
        <v>-</v>
      </c>
      <c r="M31" s="45">
        <f>VLOOKUP(L31,Ingredients!$B$3:$C$44,2,FALSE)</f>
        <v>0</v>
      </c>
      <c r="N31" s="24"/>
      <c r="O31" s="39"/>
    </row>
    <row r="32">
      <c r="A32" s="38"/>
      <c r="B32" s="10"/>
      <c r="C32" s="23"/>
      <c r="D32" s="25">
        <v>5.0</v>
      </c>
      <c r="E32" s="26" t="str">
        <f>VLOOKUP(B28,Recettes!$A$11:$L$85,10,FALSE)</f>
        <v>-</v>
      </c>
      <c r="F32" s="45">
        <f>VLOOKUP(E32,Ingredients!$B$3:$C$44,2,FALSE)</f>
        <v>0</v>
      </c>
      <c r="G32" s="24"/>
      <c r="H32" s="39"/>
      <c r="I32" s="10"/>
      <c r="J32" s="23"/>
      <c r="K32" s="46">
        <v>5.0</v>
      </c>
      <c r="L32" s="26" t="str">
        <f>VLOOKUP(I28,Recettes!$A$11:$L$84,10,FALSE)</f>
        <v>-</v>
      </c>
      <c r="M32" s="45">
        <f>VLOOKUP(L32,Ingredients!$B$3:$C$44,2,FALSE)</f>
        <v>0</v>
      </c>
      <c r="N32" s="24"/>
      <c r="O32" s="39"/>
    </row>
    <row r="33">
      <c r="A33" s="38"/>
      <c r="B33" s="32"/>
      <c r="C33" s="33"/>
      <c r="D33" s="34">
        <v>6.0</v>
      </c>
      <c r="E33" s="35" t="str">
        <f>VLOOKUP(B28,Recettes!$A$11:$L$85,12,FALSE)</f>
        <v>-</v>
      </c>
      <c r="F33" s="48">
        <f>VLOOKUP(E33,Ingredients!$B$3:$C$44,2,FALSE)</f>
        <v>0</v>
      </c>
      <c r="G33" s="37"/>
      <c r="H33" s="39"/>
      <c r="I33" s="32"/>
      <c r="J33" s="33"/>
      <c r="K33" s="49">
        <v>6.0</v>
      </c>
      <c r="L33" s="35" t="str">
        <f>VLOOKUP(I28,Recettes!$A$11:$L$84,12,FALSE)</f>
        <v>-</v>
      </c>
      <c r="M33" s="48">
        <f>VLOOKUP(L33,Ingredients!$B$3:$C$44,2,FALSE)</f>
        <v>0</v>
      </c>
      <c r="N33" s="37"/>
      <c r="O33" s="39"/>
    </row>
    <row r="34">
      <c r="A34" s="38"/>
      <c r="B34" s="52"/>
      <c r="C34" s="52"/>
      <c r="D34" s="53"/>
      <c r="E34" s="54"/>
      <c r="F34" s="55"/>
      <c r="G34" s="56"/>
      <c r="H34" s="39"/>
      <c r="I34" s="38"/>
      <c r="J34" s="38"/>
      <c r="K34" s="38"/>
      <c r="L34" s="38"/>
      <c r="M34" s="38"/>
      <c r="N34" s="38"/>
      <c r="O34" s="39"/>
    </row>
  </sheetData>
  <mergeCells count="40">
    <mergeCell ref="I2:J3"/>
    <mergeCell ref="I4:J9"/>
    <mergeCell ref="I10:J11"/>
    <mergeCell ref="I12:J17"/>
    <mergeCell ref="I18:J19"/>
    <mergeCell ref="I20:J25"/>
    <mergeCell ref="I26:J27"/>
    <mergeCell ref="I28:J33"/>
    <mergeCell ref="B2:C3"/>
    <mergeCell ref="D2:F3"/>
    <mergeCell ref="G2:G3"/>
    <mergeCell ref="K2:M3"/>
    <mergeCell ref="N2:N3"/>
    <mergeCell ref="G4:G9"/>
    <mergeCell ref="N4:N9"/>
    <mergeCell ref="D18:F19"/>
    <mergeCell ref="G18:G19"/>
    <mergeCell ref="G12:G17"/>
    <mergeCell ref="G20:G25"/>
    <mergeCell ref="B26:C27"/>
    <mergeCell ref="D26:F27"/>
    <mergeCell ref="G26:G27"/>
    <mergeCell ref="B28:C33"/>
    <mergeCell ref="G28:G33"/>
    <mergeCell ref="B4:C9"/>
    <mergeCell ref="B10:C11"/>
    <mergeCell ref="D10:F11"/>
    <mergeCell ref="G10:G11"/>
    <mergeCell ref="B12:C17"/>
    <mergeCell ref="B18:C19"/>
    <mergeCell ref="B20:C25"/>
    <mergeCell ref="N26:N27"/>
    <mergeCell ref="N28:N33"/>
    <mergeCell ref="K10:M11"/>
    <mergeCell ref="N10:N11"/>
    <mergeCell ref="N12:N17"/>
    <mergeCell ref="K18:M19"/>
    <mergeCell ref="N18:N19"/>
    <mergeCell ref="N20:N25"/>
    <mergeCell ref="K26:M27"/>
  </mergeCells>
  <conditionalFormatting sqref="G4:G9 G12:G17 G20:G25 N4:N9 N12:N17 N20:N25 N28:N33 G28:G33">
    <cfRule type="cellIs" dxfId="0" priority="1" operator="lessThan">
      <formula>20</formula>
    </cfRule>
  </conditionalFormatting>
  <conditionalFormatting sqref="G4:G9 G12:G17 N4:N9 N12:N17 N20:N25 N28:N33 G20:G25 G28:G33">
    <cfRule type="cellIs" dxfId="1" priority="2" operator="lessThan">
      <formula>25</formula>
    </cfRule>
  </conditionalFormatting>
  <conditionalFormatting sqref="G4:G9 G12:G17 N12:N17 N20:N25 N28:N33 G20:G25 G28:G33 N4:N9">
    <cfRule type="cellIs" dxfId="2" priority="3" operator="lessThan">
      <formula>30</formula>
    </cfRule>
  </conditionalFormatting>
  <conditionalFormatting sqref="G4:G9 G12:G17 N4:N9 N12:N17 N20:N25 N28:N33 G20:G25 G28:G33">
    <cfRule type="cellIs" dxfId="3" priority="4" operator="greaterThanOrEqual">
      <formula>30</formula>
    </cfRule>
  </conditionalFormatting>
  <conditionalFormatting sqref="N28:N33">
    <cfRule type="notContainsBlanks" dxfId="4" priority="5">
      <formula>LEN(TRIM(N28))&gt;0</formula>
    </cfRule>
  </conditionalFormatting>
  <dataValidations>
    <dataValidation type="list" allowBlank="1" showErrorMessage="1" sqref="I4 I12 I20 I28">
      <formula1>Recettes!$A$11:$A$84</formula1>
    </dataValidation>
    <dataValidation type="list" allowBlank="1" showErrorMessage="1" sqref="B4 B12 B20 B28">
      <formula1>Recettes!$A$11:$A$85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.5"/>
    <col customWidth="1" min="2" max="2" width="50.75"/>
    <col customWidth="1" min="3" max="3" width="22.88"/>
    <col customWidth="1" min="4" max="4" width="3.25"/>
    <col customWidth="1" min="5" max="5" width="140.5"/>
  </cols>
  <sheetData>
    <row r="1" ht="18.75" customHeight="1">
      <c r="A1" s="57"/>
      <c r="B1" s="58"/>
      <c r="C1" s="59"/>
      <c r="D1" s="60"/>
      <c r="E1" s="60"/>
    </row>
    <row r="2" ht="29.25" customHeight="1">
      <c r="B2" s="61" t="s">
        <v>20</v>
      </c>
      <c r="C2" s="62" t="s">
        <v>21</v>
      </c>
    </row>
    <row r="3" ht="21.0" customHeight="1">
      <c r="A3" s="57"/>
      <c r="B3" s="63" t="s">
        <v>22</v>
      </c>
      <c r="C3" s="64">
        <v>10.0</v>
      </c>
      <c r="D3" s="60"/>
      <c r="E3" s="65"/>
    </row>
    <row r="4" ht="21.0" customHeight="1">
      <c r="A4" s="57"/>
      <c r="B4" s="63" t="s">
        <v>23</v>
      </c>
      <c r="C4" s="64">
        <v>5.0</v>
      </c>
      <c r="D4" s="60"/>
      <c r="E4" s="65"/>
    </row>
    <row r="5" ht="21.0" customHeight="1">
      <c r="A5" s="57"/>
      <c r="B5" s="63" t="s">
        <v>24</v>
      </c>
      <c r="C5" s="64">
        <v>11.0</v>
      </c>
      <c r="D5" s="60"/>
      <c r="E5" s="65"/>
    </row>
    <row r="6" ht="21.0" customHeight="1">
      <c r="A6" s="57"/>
      <c r="B6" s="63" t="s">
        <v>25</v>
      </c>
      <c r="C6" s="64">
        <v>5.0</v>
      </c>
      <c r="D6" s="60"/>
      <c r="E6" s="65"/>
    </row>
    <row r="7" ht="21.0" customHeight="1">
      <c r="A7" s="57"/>
      <c r="B7" s="63" t="s">
        <v>26</v>
      </c>
      <c r="C7" s="64">
        <v>8.0</v>
      </c>
      <c r="D7" s="60"/>
      <c r="E7" s="65"/>
    </row>
    <row r="8" ht="21.0" customHeight="1">
      <c r="A8" s="57"/>
      <c r="B8" s="63" t="s">
        <v>27</v>
      </c>
      <c r="C8" s="64">
        <v>5.0</v>
      </c>
      <c r="D8" s="60"/>
      <c r="E8" s="65"/>
    </row>
    <row r="9" ht="21.0" customHeight="1">
      <c r="A9" s="57"/>
      <c r="B9" s="63" t="s">
        <v>28</v>
      </c>
      <c r="C9" s="64">
        <v>5.0</v>
      </c>
      <c r="D9" s="60"/>
      <c r="E9" s="65"/>
    </row>
    <row r="10" ht="21.0" customHeight="1">
      <c r="A10" s="57"/>
      <c r="B10" s="63" t="s">
        <v>29</v>
      </c>
      <c r="C10" s="64">
        <v>8.0</v>
      </c>
      <c r="D10" s="60"/>
      <c r="E10" s="65"/>
    </row>
    <row r="11" ht="21.0" customHeight="1">
      <c r="A11" s="57"/>
      <c r="B11" s="63" t="s">
        <v>30</v>
      </c>
      <c r="C11" s="64">
        <v>3.0</v>
      </c>
      <c r="D11" s="60"/>
      <c r="E11" s="65"/>
    </row>
    <row r="12" ht="21.0" customHeight="1">
      <c r="A12" s="57"/>
      <c r="B12" s="63" t="s">
        <v>31</v>
      </c>
      <c r="C12" s="64">
        <v>5.0</v>
      </c>
      <c r="D12" s="60"/>
      <c r="E12" s="65"/>
    </row>
    <row r="13" ht="21.0" customHeight="1">
      <c r="A13" s="57"/>
      <c r="B13" s="63" t="s">
        <v>32</v>
      </c>
      <c r="C13" s="64">
        <v>5.0</v>
      </c>
      <c r="D13" s="60"/>
      <c r="E13" s="65"/>
    </row>
    <row r="14" ht="21.0" customHeight="1">
      <c r="A14" s="57"/>
      <c r="B14" s="63" t="s">
        <v>33</v>
      </c>
      <c r="C14" s="64">
        <v>5.0</v>
      </c>
      <c r="D14" s="60"/>
      <c r="E14" s="65"/>
    </row>
    <row r="15" ht="21.0" customHeight="1">
      <c r="A15" s="57"/>
      <c r="B15" s="63" t="s">
        <v>34</v>
      </c>
      <c r="C15" s="64">
        <v>5.0</v>
      </c>
      <c r="D15" s="60"/>
      <c r="E15" s="65"/>
    </row>
    <row r="16" ht="21.0" customHeight="1">
      <c r="A16" s="57"/>
      <c r="B16" s="63" t="s">
        <v>35</v>
      </c>
      <c r="C16" s="64">
        <v>22.0</v>
      </c>
      <c r="D16" s="60"/>
      <c r="E16" s="65"/>
    </row>
    <row r="17" ht="21.0" customHeight="1">
      <c r="A17" s="57"/>
      <c r="B17" s="63" t="s">
        <v>36</v>
      </c>
      <c r="C17" s="64">
        <v>5.0</v>
      </c>
      <c r="D17" s="60"/>
      <c r="E17" s="65"/>
    </row>
    <row r="18" ht="21.0" customHeight="1">
      <c r="A18" s="57"/>
      <c r="B18" s="63" t="s">
        <v>2</v>
      </c>
      <c r="C18" s="64">
        <v>5.0</v>
      </c>
      <c r="D18" s="60"/>
      <c r="E18" s="65"/>
    </row>
    <row r="19" ht="21.0" customHeight="1">
      <c r="A19" s="57"/>
      <c r="B19" s="63" t="s">
        <v>37</v>
      </c>
      <c r="C19" s="64">
        <v>5.0</v>
      </c>
      <c r="D19" s="60"/>
      <c r="E19" s="65"/>
    </row>
    <row r="20" ht="21.0" customHeight="1">
      <c r="A20" s="57"/>
      <c r="B20" s="63" t="s">
        <v>38</v>
      </c>
      <c r="C20" s="64">
        <v>5.0</v>
      </c>
      <c r="D20" s="60"/>
      <c r="E20" s="65"/>
    </row>
    <row r="21" ht="21.0" customHeight="1">
      <c r="A21" s="57"/>
      <c r="B21" s="63" t="s">
        <v>39</v>
      </c>
      <c r="C21" s="64">
        <v>5.0</v>
      </c>
      <c r="D21" s="60"/>
      <c r="E21" s="65"/>
    </row>
    <row r="22" ht="21.0" customHeight="1">
      <c r="A22" s="57"/>
      <c r="B22" s="63" t="s">
        <v>40</v>
      </c>
      <c r="C22" s="64">
        <v>5.0</v>
      </c>
      <c r="D22" s="60"/>
      <c r="E22" s="65"/>
    </row>
    <row r="23" ht="21.0" customHeight="1">
      <c r="A23" s="57"/>
      <c r="B23" s="63" t="s">
        <v>41</v>
      </c>
      <c r="C23" s="64">
        <v>5.0</v>
      </c>
      <c r="D23" s="60"/>
      <c r="E23" s="65"/>
    </row>
    <row r="24" ht="21.0" customHeight="1">
      <c r="A24" s="57"/>
      <c r="B24" s="63" t="s">
        <v>42</v>
      </c>
      <c r="C24" s="64">
        <v>6.0</v>
      </c>
      <c r="D24" s="60"/>
      <c r="E24" s="65"/>
    </row>
    <row r="25" ht="21.0" customHeight="1">
      <c r="A25" s="57"/>
      <c r="B25" s="63" t="s">
        <v>43</v>
      </c>
      <c r="C25" s="64">
        <v>6.0</v>
      </c>
      <c r="D25" s="60"/>
      <c r="E25" s="65"/>
    </row>
    <row r="26" ht="21.0" customHeight="1">
      <c r="A26" s="57"/>
      <c r="B26" s="63" t="s">
        <v>44</v>
      </c>
      <c r="C26" s="64">
        <v>15.0</v>
      </c>
      <c r="D26" s="60"/>
      <c r="E26" s="65"/>
    </row>
    <row r="27" ht="21.0" customHeight="1">
      <c r="A27" s="57"/>
      <c r="B27" s="63" t="s">
        <v>45</v>
      </c>
      <c r="C27" s="64">
        <v>15.0</v>
      </c>
      <c r="D27" s="60"/>
      <c r="E27" s="65"/>
    </row>
    <row r="28" ht="21.0" customHeight="1">
      <c r="A28" s="57"/>
      <c r="B28" s="63" t="s">
        <v>46</v>
      </c>
      <c r="C28" s="64">
        <v>15.0</v>
      </c>
      <c r="D28" s="60"/>
      <c r="E28" s="65"/>
    </row>
    <row r="29" ht="21.0" customHeight="1">
      <c r="A29" s="57"/>
      <c r="B29" s="63" t="s">
        <v>47</v>
      </c>
      <c r="C29" s="64">
        <v>5.0</v>
      </c>
      <c r="D29" s="60"/>
      <c r="E29" s="65"/>
    </row>
    <row r="30" ht="21.0" customHeight="1">
      <c r="A30" s="57"/>
      <c r="B30" s="63" t="s">
        <v>48</v>
      </c>
      <c r="C30" s="64">
        <v>5.0</v>
      </c>
      <c r="D30" s="60"/>
      <c r="E30" s="65"/>
    </row>
    <row r="31" ht="21.0" customHeight="1">
      <c r="A31" s="57"/>
      <c r="B31" s="63" t="s">
        <v>49</v>
      </c>
      <c r="C31" s="64">
        <v>5.0</v>
      </c>
      <c r="D31" s="60"/>
      <c r="E31" s="65"/>
    </row>
    <row r="32" ht="21.0" customHeight="1">
      <c r="A32" s="57"/>
      <c r="B32" s="63" t="s">
        <v>50</v>
      </c>
      <c r="C32" s="64">
        <v>5.0</v>
      </c>
      <c r="D32" s="60"/>
      <c r="E32" s="65"/>
    </row>
    <row r="33" ht="21.0" customHeight="1">
      <c r="A33" s="57"/>
      <c r="B33" s="63" t="s">
        <v>51</v>
      </c>
      <c r="C33" s="64">
        <v>10.0</v>
      </c>
      <c r="D33" s="60"/>
      <c r="E33" s="65"/>
    </row>
    <row r="34" ht="21.0" customHeight="1">
      <c r="A34" s="57"/>
      <c r="B34" s="63" t="s">
        <v>52</v>
      </c>
      <c r="C34" s="64">
        <v>5.0</v>
      </c>
      <c r="D34" s="60"/>
      <c r="E34" s="65"/>
    </row>
    <row r="35" ht="21.0" customHeight="1">
      <c r="A35" s="57"/>
      <c r="B35" s="63" t="s">
        <v>53</v>
      </c>
      <c r="C35" s="64">
        <v>10.0</v>
      </c>
      <c r="D35" s="60"/>
      <c r="E35" s="65"/>
    </row>
    <row r="36" ht="21.0" customHeight="1">
      <c r="A36" s="57"/>
      <c r="B36" s="63" t="s">
        <v>54</v>
      </c>
      <c r="C36" s="64">
        <v>8.0</v>
      </c>
      <c r="D36" s="60"/>
      <c r="E36" s="65"/>
    </row>
    <row r="37" ht="21.0" customHeight="1">
      <c r="A37" s="57"/>
      <c r="B37" s="63" t="s">
        <v>55</v>
      </c>
      <c r="C37" s="64">
        <v>7.0</v>
      </c>
      <c r="D37" s="60"/>
      <c r="E37" s="65"/>
    </row>
    <row r="38" ht="21.0" customHeight="1">
      <c r="A38" s="57"/>
      <c r="B38" s="63" t="s">
        <v>56</v>
      </c>
      <c r="C38" s="64">
        <v>5.0</v>
      </c>
      <c r="D38" s="60"/>
      <c r="E38" s="65"/>
    </row>
    <row r="39" ht="21.0" customHeight="1">
      <c r="A39" s="57"/>
      <c r="B39" s="63" t="s">
        <v>57</v>
      </c>
      <c r="C39" s="64">
        <v>5.0</v>
      </c>
      <c r="D39" s="60"/>
      <c r="E39" s="65"/>
    </row>
    <row r="40" ht="19.5" customHeight="1">
      <c r="A40" s="57"/>
      <c r="B40" s="63" t="s">
        <v>58</v>
      </c>
      <c r="C40" s="64">
        <v>5.0</v>
      </c>
      <c r="D40" s="60"/>
      <c r="E40" s="65"/>
    </row>
    <row r="41" ht="19.5" customHeight="1">
      <c r="A41" s="57"/>
      <c r="B41" s="63" t="s">
        <v>59</v>
      </c>
      <c r="C41" s="64">
        <v>17.0</v>
      </c>
      <c r="D41" s="60"/>
      <c r="E41" s="65"/>
    </row>
    <row r="42" ht="21.0" customHeight="1">
      <c r="A42" s="57"/>
      <c r="B42" s="63" t="s">
        <v>60</v>
      </c>
      <c r="C42" s="64">
        <v>11.0</v>
      </c>
      <c r="D42" s="60"/>
      <c r="E42" s="65"/>
    </row>
    <row r="43" ht="19.5" customHeight="1">
      <c r="A43" s="57"/>
      <c r="B43" s="63" t="s">
        <v>61</v>
      </c>
      <c r="C43" s="64">
        <v>11.0</v>
      </c>
      <c r="D43" s="60"/>
      <c r="E43" s="65"/>
    </row>
    <row r="44" ht="19.5" customHeight="1">
      <c r="A44" s="57"/>
      <c r="B44" s="63" t="s">
        <v>62</v>
      </c>
      <c r="C44" s="64">
        <v>0.0</v>
      </c>
      <c r="D44" s="60"/>
      <c r="E44" s="65"/>
    </row>
    <row r="45" ht="19.5" customHeight="1">
      <c r="A45" s="57"/>
      <c r="B45" s="63"/>
      <c r="C45" s="64"/>
      <c r="D45" s="60"/>
      <c r="E45" s="65"/>
    </row>
    <row r="46" ht="19.5" customHeight="1">
      <c r="A46" s="57"/>
      <c r="B46" s="63"/>
      <c r="C46" s="64"/>
      <c r="D46" s="60"/>
      <c r="E46" s="65"/>
    </row>
    <row r="47" ht="19.5" customHeight="1">
      <c r="A47" s="57"/>
      <c r="B47" s="63"/>
      <c r="C47" s="64"/>
      <c r="D47" s="60"/>
      <c r="E47" s="65"/>
    </row>
    <row r="48" ht="19.5" customHeight="1">
      <c r="A48" s="57"/>
      <c r="B48" s="63"/>
      <c r="C48" s="64"/>
      <c r="D48" s="60"/>
      <c r="E48" s="65"/>
    </row>
    <row r="49" ht="19.5" customHeight="1">
      <c r="A49" s="57"/>
      <c r="B49" s="63"/>
      <c r="C49" s="64"/>
      <c r="D49" s="60"/>
      <c r="E49" s="65"/>
    </row>
    <row r="50" ht="19.5" customHeight="1">
      <c r="A50" s="57"/>
      <c r="B50" s="63"/>
      <c r="C50" s="64"/>
      <c r="D50" s="60"/>
      <c r="E50" s="65"/>
    </row>
    <row r="51" ht="19.5" customHeight="1">
      <c r="A51" s="57"/>
      <c r="B51" s="63"/>
      <c r="C51" s="64"/>
      <c r="D51" s="60"/>
      <c r="E51" s="65"/>
    </row>
    <row r="52" ht="19.5" customHeight="1">
      <c r="A52" s="57"/>
      <c r="B52" s="63"/>
      <c r="C52" s="64"/>
      <c r="D52" s="60"/>
      <c r="E52" s="65"/>
    </row>
    <row r="53" ht="19.5" customHeight="1">
      <c r="A53" s="57"/>
      <c r="B53" s="58"/>
      <c r="C53" s="58"/>
      <c r="D53" s="60"/>
      <c r="E53" s="65"/>
    </row>
  </sheetData>
  <mergeCells count="3">
    <mergeCell ref="A1:A2"/>
    <mergeCell ref="D1:D2"/>
    <mergeCell ref="E1:E2"/>
  </mergeCells>
  <dataValidations>
    <dataValidation type="custom" allowBlank="1" showDropDown="1" sqref="C3:C52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75"/>
  <cols>
    <col customWidth="1" min="1" max="1" width="31.75"/>
    <col customWidth="1" min="2" max="2" width="22.63"/>
    <col customWidth="1" min="3" max="3" width="3.88"/>
    <col customWidth="1" min="4" max="4" width="22.63"/>
    <col customWidth="1" min="5" max="5" width="3.88"/>
    <col customWidth="1" min="6" max="6" width="22.63"/>
    <col customWidth="1" min="7" max="7" width="3.88"/>
    <col customWidth="1" min="8" max="8" width="22.63"/>
    <col customWidth="1" min="9" max="9" width="3.88"/>
    <col customWidth="1" min="10" max="10" width="21.13"/>
    <col customWidth="1" min="11" max="11" width="3.5"/>
    <col customWidth="1" min="12" max="12" width="21.38"/>
    <col customWidth="1" min="13" max="13" width="3.5"/>
    <col customWidth="1" min="14" max="14" width="18.88"/>
  </cols>
  <sheetData>
    <row r="1" ht="11.25" customHeight="1">
      <c r="A1" s="66"/>
    </row>
    <row r="2" ht="9.0" customHeight="1">
      <c r="A2" s="66" t="s">
        <v>63</v>
      </c>
    </row>
    <row r="3" ht="8.25" customHeight="1"/>
    <row r="4" ht="9.0" customHeight="1"/>
    <row r="5" ht="9.75" customHeight="1"/>
    <row r="6" ht="8.25" customHeight="1"/>
    <row r="7" ht="9.0" customHeight="1"/>
    <row r="8" ht="9.75" customHeight="1"/>
    <row r="9" ht="10.5" customHeight="1"/>
    <row r="10" ht="7.5" customHeight="1"/>
    <row r="11">
      <c r="A11" s="67" t="s">
        <v>64</v>
      </c>
      <c r="B11" s="68" t="s">
        <v>39</v>
      </c>
      <c r="C11" s="69">
        <f>VLOOKUP(B11,Ingredients!$B$3:$C$44,2,FALSE)</f>
        <v>5</v>
      </c>
      <c r="D11" s="68" t="s">
        <v>31</v>
      </c>
      <c r="E11" s="70">
        <f>VLOOKUP(D11,Ingredients!$B$3:$C$44,2,FALSE)</f>
        <v>5</v>
      </c>
      <c r="F11" s="68" t="s">
        <v>37</v>
      </c>
      <c r="G11" s="70">
        <f>VLOOKUP(F11,Ingredients!$B$3:$C$44,2,FALSE)</f>
        <v>5</v>
      </c>
      <c r="H11" s="68" t="s">
        <v>23</v>
      </c>
      <c r="I11" s="70">
        <f>VLOOKUP(H11,Ingredients!$B$3:$C$44,2,FALSE)</f>
        <v>5</v>
      </c>
      <c r="J11" s="68" t="s">
        <v>62</v>
      </c>
      <c r="K11" s="71">
        <f>VLOOKUP(J11,Ingredients!$B$3:$C$44,2,FALSE)</f>
        <v>0</v>
      </c>
      <c r="L11" s="68" t="s">
        <v>62</v>
      </c>
      <c r="M11" s="72">
        <f>VLOOKUP(L11,Ingredients!$B$3:$C$44,2,FALSE)</f>
        <v>0</v>
      </c>
      <c r="N11" s="73">
        <f t="shared" ref="N11:N107" si="1">SUM(C11+E11+G11+I11+K11+M11)</f>
        <v>20</v>
      </c>
    </row>
    <row r="12">
      <c r="A12" s="74" t="s">
        <v>65</v>
      </c>
      <c r="B12" s="75" t="s">
        <v>29</v>
      </c>
      <c r="C12" s="76">
        <f>VLOOKUP(B12,Ingredients!$B$3:$C$44,2,FALSE)</f>
        <v>8</v>
      </c>
      <c r="D12" s="75" t="s">
        <v>31</v>
      </c>
      <c r="E12" s="77">
        <f>VLOOKUP(D12,Ingredients!$B$3:$C$44,2,FALSE)</f>
        <v>5</v>
      </c>
      <c r="F12" s="75" t="s">
        <v>39</v>
      </c>
      <c r="G12" s="77">
        <f>VLOOKUP(F12,Ingredients!$B$3:$C$44,2,FALSE)</f>
        <v>5</v>
      </c>
      <c r="H12" s="75" t="s">
        <v>62</v>
      </c>
      <c r="I12" s="77">
        <f>VLOOKUP(H12,Ingredients!$B$3:$C$44,2,FALSE)</f>
        <v>0</v>
      </c>
      <c r="J12" s="75" t="s">
        <v>62</v>
      </c>
      <c r="K12" s="78">
        <f>VLOOKUP(J12,Ingredients!$B$3:$C$44,2,FALSE)</f>
        <v>0</v>
      </c>
      <c r="L12" s="75" t="s">
        <v>62</v>
      </c>
      <c r="M12" s="79">
        <f>VLOOKUP(L12,Ingredients!$B$3:$C$44,2,FALSE)</f>
        <v>0</v>
      </c>
      <c r="N12" s="80">
        <f t="shared" si="1"/>
        <v>18</v>
      </c>
    </row>
    <row r="13">
      <c r="A13" s="81" t="s">
        <v>66</v>
      </c>
      <c r="B13" s="75" t="s">
        <v>29</v>
      </c>
      <c r="C13" s="76">
        <f>VLOOKUP(B13,Ingredients!$B$3:$C$44,2,FALSE)</f>
        <v>8</v>
      </c>
      <c r="D13" s="82" t="s">
        <v>40</v>
      </c>
      <c r="E13" s="77">
        <f>VLOOKUP(D13,Ingredients!$B$3:$C$44,2,FALSE)</f>
        <v>5</v>
      </c>
      <c r="F13" s="75" t="s">
        <v>57</v>
      </c>
      <c r="G13" s="77">
        <f>VLOOKUP(F13,Ingredients!$B$3:$C$44,2,FALSE)</f>
        <v>5</v>
      </c>
      <c r="H13" s="75" t="s">
        <v>62</v>
      </c>
      <c r="I13" s="77">
        <f>VLOOKUP(H13,Ingredients!$B$3:$C$44,2,FALSE)</f>
        <v>0</v>
      </c>
      <c r="J13" s="75" t="s">
        <v>62</v>
      </c>
      <c r="K13" s="78">
        <f>VLOOKUP(J13,Ingredients!$B$3:$C$44,2,FALSE)</f>
        <v>0</v>
      </c>
      <c r="L13" s="75" t="s">
        <v>62</v>
      </c>
      <c r="M13" s="79">
        <f>VLOOKUP(L13,Ingredients!$B$3:$C$44,2,FALSE)</f>
        <v>0</v>
      </c>
      <c r="N13" s="80">
        <f t="shared" si="1"/>
        <v>18</v>
      </c>
    </row>
    <row r="14">
      <c r="A14" s="67" t="s">
        <v>12</v>
      </c>
      <c r="B14" s="68" t="s">
        <v>29</v>
      </c>
      <c r="C14" s="69">
        <f>VLOOKUP(B14,Ingredients!$B$3:$C$44,2,FALSE)</f>
        <v>8</v>
      </c>
      <c r="D14" s="68" t="s">
        <v>31</v>
      </c>
      <c r="E14" s="70">
        <f>VLOOKUP(D14,Ingredients!$B$3:$C$44,2,FALSE)</f>
        <v>5</v>
      </c>
      <c r="F14" s="68" t="s">
        <v>37</v>
      </c>
      <c r="G14" s="70">
        <f>VLOOKUP(F14,Ingredients!$B$3:$C$44,2,FALSE)</f>
        <v>5</v>
      </c>
      <c r="H14" s="68" t="s">
        <v>39</v>
      </c>
      <c r="I14" s="70">
        <f>VLOOKUP(H14,Ingredients!$B$3:$C$44,2,FALSE)</f>
        <v>5</v>
      </c>
      <c r="J14" s="68" t="s">
        <v>62</v>
      </c>
      <c r="K14" s="71">
        <f>VLOOKUP(J14,Ingredients!$B$3:$C$44,2,FALSE)</f>
        <v>0</v>
      </c>
      <c r="L14" s="68" t="s">
        <v>62</v>
      </c>
      <c r="M14" s="72">
        <f>VLOOKUP(L14,Ingredients!$B$3:$C$44,2,FALSE)</f>
        <v>0</v>
      </c>
      <c r="N14" s="73">
        <f t="shared" si="1"/>
        <v>23</v>
      </c>
    </row>
    <row r="15">
      <c r="A15" s="83" t="s">
        <v>8</v>
      </c>
      <c r="B15" s="84" t="s">
        <v>52</v>
      </c>
      <c r="C15" s="85">
        <f>VLOOKUP(B15,Ingredients!$B$3:$C$44,2,FALSE)</f>
        <v>5</v>
      </c>
      <c r="D15" s="84" t="s">
        <v>39</v>
      </c>
      <c r="E15" s="86">
        <f>VLOOKUP(D15,Ingredients!$B$3:$C$44,2,FALSE)</f>
        <v>5</v>
      </c>
      <c r="F15" s="84" t="s">
        <v>31</v>
      </c>
      <c r="G15" s="86">
        <f>VLOOKUP(F15,Ingredients!$B$3:$C$44,2,FALSE)</f>
        <v>5</v>
      </c>
      <c r="H15" s="84" t="s">
        <v>37</v>
      </c>
      <c r="I15" s="86">
        <f>VLOOKUP(H15,Ingredients!$B$3:$C$44,2,FALSE)</f>
        <v>5</v>
      </c>
      <c r="J15" s="84" t="s">
        <v>34</v>
      </c>
      <c r="K15" s="87">
        <f>VLOOKUP(J15,Ingredients!$B$3:$C$44,2,FALSE)</f>
        <v>5</v>
      </c>
      <c r="L15" s="84" t="s">
        <v>62</v>
      </c>
      <c r="M15" s="88">
        <f>VLOOKUP(L15,Ingredients!$B$3:$C$44,2,FALSE)</f>
        <v>0</v>
      </c>
      <c r="N15" s="89">
        <f t="shared" si="1"/>
        <v>25</v>
      </c>
    </row>
    <row r="16">
      <c r="A16" s="90" t="s">
        <v>67</v>
      </c>
      <c r="B16" s="68" t="s">
        <v>23</v>
      </c>
      <c r="C16" s="69">
        <f>VLOOKUP(B16,Ingredients!$B$3:$C$44,2,FALSE)</f>
        <v>5</v>
      </c>
      <c r="D16" s="68" t="s">
        <v>40</v>
      </c>
      <c r="E16" s="70">
        <f>VLOOKUP(D16,Ingredients!$B$3:$C$44,2,FALSE)</f>
        <v>5</v>
      </c>
      <c r="F16" s="68" t="s">
        <v>57</v>
      </c>
      <c r="G16" s="70">
        <f>VLOOKUP(F16,Ingredients!$B$3:$C$44,2,FALSE)</f>
        <v>5</v>
      </c>
      <c r="H16" s="68" t="s">
        <v>39</v>
      </c>
      <c r="I16" s="70">
        <f>VLOOKUP(H16,Ingredients!$B$3:$C$44,2,FALSE)</f>
        <v>5</v>
      </c>
      <c r="J16" s="68" t="s">
        <v>62</v>
      </c>
      <c r="K16" s="71">
        <f>VLOOKUP(J16,Ingredients!$B$3:$C$44,2,FALSE)</f>
        <v>0</v>
      </c>
      <c r="L16" s="68" t="s">
        <v>62</v>
      </c>
      <c r="M16" s="72">
        <f>VLOOKUP(L16,Ingredients!$B$3:$C$44,2,FALSE)</f>
        <v>0</v>
      </c>
      <c r="N16" s="73">
        <f t="shared" si="1"/>
        <v>20</v>
      </c>
    </row>
    <row r="17">
      <c r="A17" s="81" t="s">
        <v>68</v>
      </c>
      <c r="B17" s="75" t="s">
        <v>37</v>
      </c>
      <c r="C17" s="76">
        <f>VLOOKUP(B17,Ingredients!$B$3:$C$44,2,FALSE)</f>
        <v>5</v>
      </c>
      <c r="D17" s="75" t="s">
        <v>24</v>
      </c>
      <c r="E17" s="77">
        <f>VLOOKUP(D17,Ingredients!$B$3:$C$44,2,FALSE)</f>
        <v>11</v>
      </c>
      <c r="F17" s="75" t="s">
        <v>62</v>
      </c>
      <c r="G17" s="77">
        <f>VLOOKUP(F17,Ingredients!$B$3:$C$44,2,FALSE)</f>
        <v>0</v>
      </c>
      <c r="H17" s="75" t="s">
        <v>62</v>
      </c>
      <c r="I17" s="77">
        <f>VLOOKUP(H17,Ingredients!$B$3:$C$44,2,FALSE)</f>
        <v>0</v>
      </c>
      <c r="J17" s="75" t="s">
        <v>62</v>
      </c>
      <c r="K17" s="78">
        <f>VLOOKUP(J17,Ingredients!$B$3:$C$44,2,FALSE)</f>
        <v>0</v>
      </c>
      <c r="L17" s="75" t="s">
        <v>62</v>
      </c>
      <c r="M17" s="79">
        <f>VLOOKUP(L17,Ingredients!$B$3:$C$44,2,FALSE)</f>
        <v>0</v>
      </c>
      <c r="N17" s="80">
        <f t="shared" si="1"/>
        <v>16</v>
      </c>
    </row>
    <row r="18">
      <c r="A18" s="90" t="s">
        <v>69</v>
      </c>
      <c r="B18" s="68" t="s">
        <v>24</v>
      </c>
      <c r="C18" s="69">
        <f>VLOOKUP(B18,Ingredients!$B$3:$C$44,2,FALSE)</f>
        <v>11</v>
      </c>
      <c r="D18" s="68" t="s">
        <v>31</v>
      </c>
      <c r="E18" s="70">
        <f>VLOOKUP(D18,Ingredients!$B$3:$C$44,2,FALSE)</f>
        <v>5</v>
      </c>
      <c r="F18" s="68" t="s">
        <v>39</v>
      </c>
      <c r="G18" s="70">
        <f>VLOOKUP(F18,Ingredients!$B$3:$C$44,2,FALSE)</f>
        <v>5</v>
      </c>
      <c r="H18" s="68" t="s">
        <v>62</v>
      </c>
      <c r="I18" s="70">
        <f>VLOOKUP(H18,Ingredients!$B$3:$C$44,2,FALSE)</f>
        <v>0</v>
      </c>
      <c r="J18" s="68" t="s">
        <v>62</v>
      </c>
      <c r="K18" s="71">
        <f>VLOOKUP(J18,Ingredients!$B$3:$C$44,2,FALSE)</f>
        <v>0</v>
      </c>
      <c r="L18" s="68" t="s">
        <v>62</v>
      </c>
      <c r="M18" s="72">
        <f>VLOOKUP(L18,Ingredients!$B$3:$C$44,2,FALSE)</f>
        <v>0</v>
      </c>
      <c r="N18" s="73">
        <f t="shared" si="1"/>
        <v>21</v>
      </c>
    </row>
    <row r="19">
      <c r="A19" s="81" t="s">
        <v>14</v>
      </c>
      <c r="B19" s="75" t="s">
        <v>26</v>
      </c>
      <c r="C19" s="76">
        <f>VLOOKUP(B19,Ingredients!$B$3:$C$44,2,FALSE)</f>
        <v>8</v>
      </c>
      <c r="D19" s="75" t="s">
        <v>36</v>
      </c>
      <c r="E19" s="77">
        <f>VLOOKUP(D19,Ingredients!$B$3:$C$44,2,FALSE)</f>
        <v>5</v>
      </c>
      <c r="F19" s="75" t="s">
        <v>48</v>
      </c>
      <c r="G19" s="77">
        <f>VLOOKUP(F19,Ingredients!$B$3:$C$44,2,FALSE)</f>
        <v>5</v>
      </c>
      <c r="H19" s="75" t="s">
        <v>62</v>
      </c>
      <c r="I19" s="77">
        <f>VLOOKUP(H19,Ingredients!$B$3:$C$44,2,FALSE)</f>
        <v>0</v>
      </c>
      <c r="J19" s="75" t="s">
        <v>62</v>
      </c>
      <c r="K19" s="78">
        <f>VLOOKUP(J19,Ingredients!$B$3:$C$44,2,FALSE)</f>
        <v>0</v>
      </c>
      <c r="L19" s="75" t="s">
        <v>62</v>
      </c>
      <c r="M19" s="79">
        <f>VLOOKUP(L19,Ingredients!$B$3:$C$44,2,FALSE)</f>
        <v>0</v>
      </c>
      <c r="N19" s="80">
        <f t="shared" si="1"/>
        <v>18</v>
      </c>
    </row>
    <row r="20">
      <c r="A20" s="91" t="s">
        <v>70</v>
      </c>
      <c r="B20" s="92" t="s">
        <v>51</v>
      </c>
      <c r="C20" s="93">
        <f>VLOOKUP(B20,Ingredients!$B$3:$C$44,2,FALSE)</f>
        <v>10</v>
      </c>
      <c r="D20" s="92" t="s">
        <v>57</v>
      </c>
      <c r="E20" s="94">
        <f>VLOOKUP(D20,Ingredients!$B$3:$C$44,2,FALSE)</f>
        <v>5</v>
      </c>
      <c r="F20" s="92" t="s">
        <v>29</v>
      </c>
      <c r="G20" s="94">
        <f>VLOOKUP(F20,Ingredients!$B$3:$C$44,2,FALSE)</f>
        <v>8</v>
      </c>
      <c r="H20" s="92" t="s">
        <v>53</v>
      </c>
      <c r="I20" s="94">
        <f>VLOOKUP(H20,Ingredients!$B$3:$C$44,2,FALSE)</f>
        <v>10</v>
      </c>
      <c r="J20" s="92" t="s">
        <v>62</v>
      </c>
      <c r="K20" s="95">
        <f>VLOOKUP(J20,Ingredients!$B$3:$C$44,2,FALSE)</f>
        <v>0</v>
      </c>
      <c r="L20" s="92" t="s">
        <v>62</v>
      </c>
      <c r="M20" s="96">
        <f>VLOOKUP(L20,Ingredients!$B$3:$C$44,2,FALSE)</f>
        <v>0</v>
      </c>
      <c r="N20" s="97">
        <f t="shared" si="1"/>
        <v>33</v>
      </c>
    </row>
    <row r="21">
      <c r="A21" s="81" t="s">
        <v>71</v>
      </c>
      <c r="B21" s="75" t="s">
        <v>31</v>
      </c>
      <c r="C21" s="76">
        <f>VLOOKUP(B21,Ingredients!$B$3:$C$44,2,FALSE)</f>
        <v>5</v>
      </c>
      <c r="D21" s="75" t="s">
        <v>37</v>
      </c>
      <c r="E21" s="77">
        <f>VLOOKUP(D21,Ingredients!$B$3:$C$44,2,FALSE)</f>
        <v>5</v>
      </c>
      <c r="F21" s="75" t="s">
        <v>55</v>
      </c>
      <c r="G21" s="77">
        <f>VLOOKUP(F21,Ingredients!$B$3:$C$44,2,FALSE)</f>
        <v>7</v>
      </c>
      <c r="H21" s="75" t="s">
        <v>62</v>
      </c>
      <c r="I21" s="77">
        <f>VLOOKUP(H21,Ingredients!$B$3:$C$44,2,FALSE)</f>
        <v>0</v>
      </c>
      <c r="J21" s="75" t="s">
        <v>62</v>
      </c>
      <c r="K21" s="78">
        <f>VLOOKUP(J21,Ingredients!$B$3:$C$44,2,FALSE)</f>
        <v>0</v>
      </c>
      <c r="L21" s="75" t="s">
        <v>62</v>
      </c>
      <c r="M21" s="79">
        <f>VLOOKUP(L21,Ingredients!$B$3:$C$44,2,FALSE)</f>
        <v>0</v>
      </c>
      <c r="N21" s="80">
        <f t="shared" si="1"/>
        <v>17</v>
      </c>
    </row>
    <row r="22">
      <c r="A22" s="83" t="s">
        <v>72</v>
      </c>
      <c r="B22" s="84" t="s">
        <v>42</v>
      </c>
      <c r="C22" s="85">
        <f>VLOOKUP(B22,Ingredients!$B$3:$C$44,2,FALSE)</f>
        <v>6</v>
      </c>
      <c r="D22" s="84" t="s">
        <v>26</v>
      </c>
      <c r="E22" s="86">
        <f>VLOOKUP(D22,Ingredients!$B$3:$C$44,2,FALSE)</f>
        <v>8</v>
      </c>
      <c r="F22" s="84" t="s">
        <v>22</v>
      </c>
      <c r="G22" s="86">
        <f>VLOOKUP(F22,Ingredients!$B$3:$C$44,2,FALSE)</f>
        <v>10</v>
      </c>
      <c r="H22" s="84" t="s">
        <v>34</v>
      </c>
      <c r="I22" s="86">
        <f>VLOOKUP(H22,Ingredients!$B$3:$C$44,2,FALSE)</f>
        <v>5</v>
      </c>
      <c r="J22" s="84" t="s">
        <v>62</v>
      </c>
      <c r="K22" s="87">
        <f>VLOOKUP(J22,Ingredients!$B$3:$C$44,2,FALSE)</f>
        <v>0</v>
      </c>
      <c r="L22" s="84" t="s">
        <v>62</v>
      </c>
      <c r="M22" s="88">
        <f>VLOOKUP(L22,Ingredients!$B$3:$C$44,2,FALSE)</f>
        <v>0</v>
      </c>
      <c r="N22" s="89">
        <f t="shared" si="1"/>
        <v>29</v>
      </c>
    </row>
    <row r="23">
      <c r="A23" s="83" t="s">
        <v>73</v>
      </c>
      <c r="B23" s="84" t="s">
        <v>31</v>
      </c>
      <c r="C23" s="85">
        <f>VLOOKUP(B23,Ingredients!$B$3:$C$44,2,FALSE)</f>
        <v>5</v>
      </c>
      <c r="D23" s="84" t="s">
        <v>55</v>
      </c>
      <c r="E23" s="86">
        <f>VLOOKUP(D23,Ingredients!$B$3:$C$44,2,FALSE)</f>
        <v>7</v>
      </c>
      <c r="F23" s="84" t="s">
        <v>32</v>
      </c>
      <c r="G23" s="86">
        <f>VLOOKUP(F23,Ingredients!$B$3:$C$44,2,FALSE)</f>
        <v>5</v>
      </c>
      <c r="H23" s="84" t="s">
        <v>41</v>
      </c>
      <c r="I23" s="86">
        <f>VLOOKUP(H23,Ingredients!$B$3:$C$44,2,FALSE)</f>
        <v>5</v>
      </c>
      <c r="J23" s="84" t="s">
        <v>47</v>
      </c>
      <c r="K23" s="87">
        <f>VLOOKUP(J23,Ingredients!$B$3:$C$44,2,FALSE)</f>
        <v>5</v>
      </c>
      <c r="L23" s="84" t="s">
        <v>62</v>
      </c>
      <c r="M23" s="88">
        <f>VLOOKUP(L23,Ingredients!$B$3:$C$44,2,FALSE)</f>
        <v>0</v>
      </c>
      <c r="N23" s="89">
        <f t="shared" si="1"/>
        <v>27</v>
      </c>
    </row>
    <row r="24">
      <c r="A24" s="83" t="s">
        <v>74</v>
      </c>
      <c r="B24" s="84" t="s">
        <v>22</v>
      </c>
      <c r="C24" s="85">
        <f>VLOOKUP(B24,Ingredients!$B$3:$C$44,2,FALSE)</f>
        <v>10</v>
      </c>
      <c r="D24" s="84" t="s">
        <v>31</v>
      </c>
      <c r="E24" s="86">
        <f>VLOOKUP(D24,Ingredients!$B$3:$C$44,2,FALSE)</f>
        <v>5</v>
      </c>
      <c r="F24" s="84" t="s">
        <v>55</v>
      </c>
      <c r="G24" s="86">
        <f>VLOOKUP(F24,Ingredients!$B$3:$C$44,2,FALSE)</f>
        <v>7</v>
      </c>
      <c r="H24" s="84" t="s">
        <v>32</v>
      </c>
      <c r="I24" s="86">
        <f>VLOOKUP(H24,Ingredients!$B$3:$C$44,2,FALSE)</f>
        <v>5</v>
      </c>
      <c r="J24" s="84" t="s">
        <v>62</v>
      </c>
      <c r="K24" s="87">
        <f>VLOOKUP(J24,Ingredients!$B$3:$C$44,2,FALSE)</f>
        <v>0</v>
      </c>
      <c r="L24" s="84" t="s">
        <v>62</v>
      </c>
      <c r="M24" s="88">
        <f>VLOOKUP(L24,Ingredients!$B$3:$C$44,2,FALSE)</f>
        <v>0</v>
      </c>
      <c r="N24" s="89">
        <f t="shared" si="1"/>
        <v>27</v>
      </c>
    </row>
    <row r="25">
      <c r="A25" s="90" t="s">
        <v>75</v>
      </c>
      <c r="B25" s="68" t="s">
        <v>31</v>
      </c>
      <c r="C25" s="69">
        <f>VLOOKUP(B25,Ingredients!$B$3:$C$44,2,FALSE)</f>
        <v>5</v>
      </c>
      <c r="D25" s="68" t="s">
        <v>39</v>
      </c>
      <c r="E25" s="70">
        <f>VLOOKUP(D25,Ingredients!$B$3:$C$44,2,FALSE)</f>
        <v>5</v>
      </c>
      <c r="F25" s="68" t="s">
        <v>58</v>
      </c>
      <c r="G25" s="70">
        <f>VLOOKUP(F25,Ingredients!$B$3:$C$44,2,FALSE)</f>
        <v>5</v>
      </c>
      <c r="H25" s="68" t="s">
        <v>33</v>
      </c>
      <c r="I25" s="70">
        <f>VLOOKUP(H25,Ingredients!$B$3:$C$44,2,FALSE)</f>
        <v>5</v>
      </c>
      <c r="J25" s="68" t="s">
        <v>62</v>
      </c>
      <c r="K25" s="71">
        <f>VLOOKUP(J25,Ingredients!$B$3:$C$44,2,FALSE)</f>
        <v>0</v>
      </c>
      <c r="L25" s="68" t="s">
        <v>62</v>
      </c>
      <c r="M25" s="72">
        <f>VLOOKUP(L25,Ingredients!$B$3:$C$44,2,FALSE)</f>
        <v>0</v>
      </c>
      <c r="N25" s="73">
        <f t="shared" si="1"/>
        <v>20</v>
      </c>
    </row>
    <row r="26">
      <c r="A26" s="83" t="s">
        <v>76</v>
      </c>
      <c r="B26" s="84" t="s">
        <v>44</v>
      </c>
      <c r="C26" s="85">
        <f>VLOOKUP(B26,Ingredients!$B$3:$C$44,2,FALSE)</f>
        <v>15</v>
      </c>
      <c r="D26" s="84" t="s">
        <v>47</v>
      </c>
      <c r="E26" s="86">
        <f>VLOOKUP(D26,Ingredients!$B$3:$C$44,2,FALSE)</f>
        <v>5</v>
      </c>
      <c r="F26" s="84" t="s">
        <v>55</v>
      </c>
      <c r="G26" s="86">
        <f>VLOOKUP(F26,Ingredients!$B$3:$C$44,2,FALSE)</f>
        <v>7</v>
      </c>
      <c r="H26" s="84" t="s">
        <v>62</v>
      </c>
      <c r="I26" s="86">
        <f>VLOOKUP(H26,Ingredients!$B$3:$C$44,2,FALSE)</f>
        <v>0</v>
      </c>
      <c r="J26" s="84" t="s">
        <v>62</v>
      </c>
      <c r="K26" s="87">
        <f>VLOOKUP(J26,Ingredients!$B$3:$C$44,2,FALSE)</f>
        <v>0</v>
      </c>
      <c r="L26" s="84" t="s">
        <v>62</v>
      </c>
      <c r="M26" s="88">
        <f>VLOOKUP(L26,Ingredients!$B$3:$C$44,2,FALSE)</f>
        <v>0</v>
      </c>
      <c r="N26" s="89">
        <f t="shared" si="1"/>
        <v>27</v>
      </c>
    </row>
    <row r="27">
      <c r="A27" s="91" t="s">
        <v>77</v>
      </c>
      <c r="B27" s="92" t="s">
        <v>24</v>
      </c>
      <c r="C27" s="93">
        <f>VLOOKUP(B27,Ingredients!$B$3:$C$44,2,FALSE)</f>
        <v>11</v>
      </c>
      <c r="D27" s="92" t="s">
        <v>22</v>
      </c>
      <c r="E27" s="94">
        <f>VLOOKUP(D27,Ingredients!$B$3:$C$44,2,FALSE)</f>
        <v>10</v>
      </c>
      <c r="F27" s="92" t="s">
        <v>55</v>
      </c>
      <c r="G27" s="94">
        <f>VLOOKUP(F27,Ingredients!$B$3:$C$44,2,FALSE)</f>
        <v>7</v>
      </c>
      <c r="H27" s="92" t="s">
        <v>31</v>
      </c>
      <c r="I27" s="94">
        <f>VLOOKUP(H27,Ingredients!$B$3:$C$44,2,FALSE)</f>
        <v>5</v>
      </c>
      <c r="J27" s="92" t="s">
        <v>62</v>
      </c>
      <c r="K27" s="95">
        <f>VLOOKUP(J27,Ingredients!$B$3:$C$44,2,FALSE)</f>
        <v>0</v>
      </c>
      <c r="L27" s="92" t="s">
        <v>62</v>
      </c>
      <c r="M27" s="96">
        <f>VLOOKUP(L27,Ingredients!$B$3:$C$44,2,FALSE)</f>
        <v>0</v>
      </c>
      <c r="N27" s="97">
        <f t="shared" si="1"/>
        <v>33</v>
      </c>
    </row>
    <row r="28">
      <c r="A28" s="83" t="s">
        <v>78</v>
      </c>
      <c r="B28" s="84" t="s">
        <v>22</v>
      </c>
      <c r="C28" s="85">
        <f>VLOOKUP(B28,Ingredients!$B$3:$C$44,2,FALSE)</f>
        <v>10</v>
      </c>
      <c r="D28" s="84" t="s">
        <v>55</v>
      </c>
      <c r="E28" s="86">
        <f>VLOOKUP(D28,Ingredients!$B$3:$C$44,2,FALSE)</f>
        <v>7</v>
      </c>
      <c r="F28" s="84" t="s">
        <v>37</v>
      </c>
      <c r="G28" s="86">
        <f>VLOOKUP(F28,Ingredients!$B$3:$C$44,2,FALSE)</f>
        <v>5</v>
      </c>
      <c r="H28" s="84" t="s">
        <v>32</v>
      </c>
      <c r="I28" s="86">
        <f>VLOOKUP(H28,Ingredients!$B$3:$C$44,2,FALSE)</f>
        <v>5</v>
      </c>
      <c r="J28" s="84" t="s">
        <v>39</v>
      </c>
      <c r="K28" s="87">
        <f>VLOOKUP(J28,Ingredients!$B$3:$C$44,2,FALSE)</f>
        <v>5</v>
      </c>
      <c r="L28" s="84" t="s">
        <v>62</v>
      </c>
      <c r="M28" s="88">
        <f>VLOOKUP(L28,Ingredients!$B$3:$C$44,2,FALSE)</f>
        <v>0</v>
      </c>
      <c r="N28" s="89">
        <f t="shared" si="1"/>
        <v>32</v>
      </c>
    </row>
    <row r="29">
      <c r="A29" s="91" t="s">
        <v>79</v>
      </c>
      <c r="B29" s="92" t="s">
        <v>41</v>
      </c>
      <c r="C29" s="93">
        <f>VLOOKUP(B29,Ingredients!$B$3:$C$44,2,FALSE)</f>
        <v>5</v>
      </c>
      <c r="D29" s="92" t="s">
        <v>39</v>
      </c>
      <c r="E29" s="94">
        <f>VLOOKUP(D29,Ingredients!$B$3:$C$44,2,FALSE)</f>
        <v>5</v>
      </c>
      <c r="F29" s="92" t="s">
        <v>53</v>
      </c>
      <c r="G29" s="94">
        <f>VLOOKUP(F29,Ingredients!$B$3:$C$44,2,FALSE)</f>
        <v>10</v>
      </c>
      <c r="H29" s="92" t="s">
        <v>22</v>
      </c>
      <c r="I29" s="94">
        <f>VLOOKUP(H29,Ingredients!$B$3:$C$44,2,FALSE)</f>
        <v>10</v>
      </c>
      <c r="J29" s="92" t="s">
        <v>55</v>
      </c>
      <c r="K29" s="95">
        <f>VLOOKUP(J29,Ingredients!$B$3:$C$44,2,FALSE)</f>
        <v>7</v>
      </c>
      <c r="L29" s="92" t="s">
        <v>62</v>
      </c>
      <c r="M29" s="96">
        <f>VLOOKUP(L29,Ingredients!$B$3:$C$44,2,FALSE)</f>
        <v>0</v>
      </c>
      <c r="N29" s="97">
        <f t="shared" si="1"/>
        <v>37</v>
      </c>
    </row>
    <row r="30">
      <c r="A30" s="90" t="s">
        <v>80</v>
      </c>
      <c r="B30" s="68" t="s">
        <v>31</v>
      </c>
      <c r="C30" s="69">
        <f>VLOOKUP(B30,Ingredients!$B$3:$C$44,2,FALSE)</f>
        <v>5</v>
      </c>
      <c r="D30" s="68" t="s">
        <v>39</v>
      </c>
      <c r="E30" s="70">
        <f>VLOOKUP(D30,Ingredients!$B$3:$C$44,2,FALSE)</f>
        <v>5</v>
      </c>
      <c r="F30" s="68" t="s">
        <v>37</v>
      </c>
      <c r="G30" s="70">
        <f>VLOOKUP(F30,Ingredients!$B$3:$C$44,2,FALSE)</f>
        <v>5</v>
      </c>
      <c r="H30" s="68" t="s">
        <v>55</v>
      </c>
      <c r="I30" s="70">
        <f>VLOOKUP(H30,Ingredients!$B$3:$C$44,2,FALSE)</f>
        <v>7</v>
      </c>
      <c r="J30" s="68" t="s">
        <v>62</v>
      </c>
      <c r="K30" s="71">
        <f>VLOOKUP(J30,Ingredients!$B$3:$C$44,2,FALSE)</f>
        <v>0</v>
      </c>
      <c r="L30" s="68" t="s">
        <v>62</v>
      </c>
      <c r="M30" s="72">
        <f>VLOOKUP(L30,Ingredients!$B$3:$C$44,2,FALSE)</f>
        <v>0</v>
      </c>
      <c r="N30" s="73">
        <f t="shared" si="1"/>
        <v>22</v>
      </c>
    </row>
    <row r="31">
      <c r="A31" s="83" t="s">
        <v>81</v>
      </c>
      <c r="B31" s="84" t="s">
        <v>35</v>
      </c>
      <c r="C31" s="85">
        <f>VLOOKUP(B31,Ingredients!$B$3:$C$44,2,FALSE)</f>
        <v>22</v>
      </c>
      <c r="D31" s="84" t="s">
        <v>55</v>
      </c>
      <c r="E31" s="86">
        <f>VLOOKUP(D31,Ingredients!$B$3:$C$44,2,FALSE)</f>
        <v>7</v>
      </c>
      <c r="F31" s="84" t="s">
        <v>62</v>
      </c>
      <c r="G31" s="86">
        <f>VLOOKUP(F31,Ingredients!$B$3:$C$44,2,FALSE)</f>
        <v>0</v>
      </c>
      <c r="H31" s="84" t="s">
        <v>62</v>
      </c>
      <c r="I31" s="86">
        <f>VLOOKUP(H31,Ingredients!$B$3:$C$44,2,FALSE)</f>
        <v>0</v>
      </c>
      <c r="J31" s="84" t="s">
        <v>62</v>
      </c>
      <c r="K31" s="87">
        <f>VLOOKUP(J31,Ingredients!$B$3:$C$44,2,FALSE)</f>
        <v>0</v>
      </c>
      <c r="L31" s="84" t="s">
        <v>62</v>
      </c>
      <c r="M31" s="88">
        <f>VLOOKUP(L31,Ingredients!$B$3:$C$44,2,FALSE)</f>
        <v>0</v>
      </c>
      <c r="N31" s="89">
        <f t="shared" si="1"/>
        <v>29</v>
      </c>
    </row>
    <row r="32">
      <c r="A32" s="81" t="s">
        <v>16</v>
      </c>
      <c r="B32" s="75" t="s">
        <v>48</v>
      </c>
      <c r="C32" s="76">
        <f>VLOOKUP(B32,Ingredients!$B$3:$C$44,2,FALSE)</f>
        <v>5</v>
      </c>
      <c r="D32" s="75" t="s">
        <v>37</v>
      </c>
      <c r="E32" s="77">
        <f>VLOOKUP(D32,Ingredients!$B$3:$C$44,2,FALSE)</f>
        <v>5</v>
      </c>
      <c r="F32" s="75" t="s">
        <v>54</v>
      </c>
      <c r="G32" s="77">
        <f>VLOOKUP(F32,Ingredients!$B$3:$C$44,2,FALSE)</f>
        <v>8</v>
      </c>
      <c r="H32" s="75" t="s">
        <v>62</v>
      </c>
      <c r="I32" s="77">
        <f>VLOOKUP(H32,Ingredients!$B$3:$C$44,2,FALSE)</f>
        <v>0</v>
      </c>
      <c r="J32" s="75" t="s">
        <v>62</v>
      </c>
      <c r="K32" s="78">
        <f>VLOOKUP(J32,Ingredients!$B$3:$C$44,2,FALSE)</f>
        <v>0</v>
      </c>
      <c r="L32" s="75" t="s">
        <v>62</v>
      </c>
      <c r="M32" s="79">
        <f>VLOOKUP(L32,Ingredients!$B$3:$C$44,2,FALSE)</f>
        <v>0</v>
      </c>
      <c r="N32" s="80">
        <f t="shared" si="1"/>
        <v>18</v>
      </c>
    </row>
    <row r="33">
      <c r="A33" s="90" t="s">
        <v>82</v>
      </c>
      <c r="B33" s="68" t="s">
        <v>2</v>
      </c>
      <c r="C33" s="69">
        <f>VLOOKUP(B33,Ingredients!$B$3:$C$44,2,FALSE)</f>
        <v>5</v>
      </c>
      <c r="D33" s="68" t="s">
        <v>22</v>
      </c>
      <c r="E33" s="70">
        <f>VLOOKUP(D33,Ingredients!$B$3:$C$44,2,FALSE)</f>
        <v>10</v>
      </c>
      <c r="F33" s="68" t="s">
        <v>50</v>
      </c>
      <c r="G33" s="70">
        <f>VLOOKUP(F33,Ingredients!$B$3:$C$44,2,FALSE)</f>
        <v>5</v>
      </c>
      <c r="H33" s="68" t="s">
        <v>62</v>
      </c>
      <c r="I33" s="70">
        <f>VLOOKUP(H33,Ingredients!$B$3:$C$44,2,FALSE)</f>
        <v>0</v>
      </c>
      <c r="J33" s="68" t="s">
        <v>62</v>
      </c>
      <c r="K33" s="71">
        <f>VLOOKUP(J33,Ingredients!$B$3:$C$44,2,FALSE)</f>
        <v>0</v>
      </c>
      <c r="L33" s="68" t="s">
        <v>62</v>
      </c>
      <c r="M33" s="72">
        <f>VLOOKUP(L33,Ingredients!$B$3:$C$44,2,FALSE)</f>
        <v>0</v>
      </c>
      <c r="N33" s="73">
        <f t="shared" si="1"/>
        <v>20</v>
      </c>
    </row>
    <row r="34">
      <c r="A34" s="90" t="s">
        <v>83</v>
      </c>
      <c r="B34" s="68" t="s">
        <v>48</v>
      </c>
      <c r="C34" s="69">
        <f>VLOOKUP(B34,Ingredients!$B$3:$C$44,2,FALSE)</f>
        <v>5</v>
      </c>
      <c r="D34" s="68" t="s">
        <v>51</v>
      </c>
      <c r="E34" s="70">
        <f>VLOOKUP(D34,Ingredients!$B$3:$C$44,2,FALSE)</f>
        <v>10</v>
      </c>
      <c r="F34" s="68" t="s">
        <v>47</v>
      </c>
      <c r="G34" s="70">
        <f>VLOOKUP(F34,Ingredients!$B$3:$C$44,2,FALSE)</f>
        <v>5</v>
      </c>
      <c r="H34" s="68" t="s">
        <v>62</v>
      </c>
      <c r="I34" s="70">
        <f>VLOOKUP(H34,Ingredients!$B$3:$C$44,2,FALSE)</f>
        <v>0</v>
      </c>
      <c r="J34" s="68" t="s">
        <v>62</v>
      </c>
      <c r="K34" s="71">
        <f>VLOOKUP(J34,Ingredients!$B$3:$C$44,2,FALSE)</f>
        <v>0</v>
      </c>
      <c r="L34" s="68" t="s">
        <v>62</v>
      </c>
      <c r="M34" s="72">
        <f>VLOOKUP(L34,Ingredients!$B$3:$C$44,2,FALSE)</f>
        <v>0</v>
      </c>
      <c r="N34" s="73">
        <f t="shared" si="1"/>
        <v>20</v>
      </c>
    </row>
    <row r="35">
      <c r="A35" s="81" t="s">
        <v>13</v>
      </c>
      <c r="B35" s="75" t="s">
        <v>30</v>
      </c>
      <c r="C35" s="76">
        <f>VLOOKUP(B35,Ingredients!$B$3:$C$44,2,FALSE)</f>
        <v>3</v>
      </c>
      <c r="D35" s="75" t="s">
        <v>25</v>
      </c>
      <c r="E35" s="77">
        <f>VLOOKUP(D35,Ingredients!$B$3:$C$44,2,FALSE)</f>
        <v>5</v>
      </c>
      <c r="F35" s="75" t="s">
        <v>55</v>
      </c>
      <c r="G35" s="77">
        <f>VLOOKUP(F35,Ingredients!$B$3:$C$44,2,FALSE)</f>
        <v>7</v>
      </c>
      <c r="H35" s="75" t="s">
        <v>62</v>
      </c>
      <c r="I35" s="77">
        <f>VLOOKUP(H35,Ingredients!$B$3:$C$44,2,FALSE)</f>
        <v>0</v>
      </c>
      <c r="J35" s="75" t="s">
        <v>62</v>
      </c>
      <c r="K35" s="78">
        <f>VLOOKUP(J35,Ingredients!$B$3:$C$44,2,FALSE)</f>
        <v>0</v>
      </c>
      <c r="L35" s="75" t="s">
        <v>62</v>
      </c>
      <c r="M35" s="79">
        <f>VLOOKUP(L35,Ingredients!$B$3:$C$44,2,FALSE)</f>
        <v>0</v>
      </c>
      <c r="N35" s="80">
        <f t="shared" si="1"/>
        <v>15</v>
      </c>
    </row>
    <row r="36">
      <c r="A36" s="83" t="s">
        <v>84</v>
      </c>
      <c r="B36" s="84" t="s">
        <v>32</v>
      </c>
      <c r="C36" s="85">
        <f>VLOOKUP(B36,Ingredients!$B$3:$C$44,2,FALSE)</f>
        <v>5</v>
      </c>
      <c r="D36" s="84" t="s">
        <v>24</v>
      </c>
      <c r="E36" s="86">
        <f>VLOOKUP(D36,Ingredients!$B$3:$C$44,2,FALSE)</f>
        <v>11</v>
      </c>
      <c r="F36" s="84" t="s">
        <v>25</v>
      </c>
      <c r="G36" s="86">
        <f>VLOOKUP(F36,Ingredients!$B$3:$C$44,2,FALSE)</f>
        <v>5</v>
      </c>
      <c r="H36" s="84" t="s">
        <v>39</v>
      </c>
      <c r="I36" s="86">
        <f>VLOOKUP(H36,Ingredients!$B$3:$C$44,2,FALSE)</f>
        <v>5</v>
      </c>
      <c r="J36" s="84" t="s">
        <v>62</v>
      </c>
      <c r="K36" s="87">
        <f>VLOOKUP(J36,Ingredients!$B$3:$C$44,2,FALSE)</f>
        <v>0</v>
      </c>
      <c r="L36" s="84" t="s">
        <v>62</v>
      </c>
      <c r="M36" s="88">
        <f>VLOOKUP(L36,Ingredients!$B$3:$C$44,2,FALSE)</f>
        <v>0</v>
      </c>
      <c r="N36" s="89">
        <f t="shared" si="1"/>
        <v>26</v>
      </c>
    </row>
    <row r="37">
      <c r="A37" s="81" t="s">
        <v>85</v>
      </c>
      <c r="B37" s="75" t="s">
        <v>54</v>
      </c>
      <c r="C37" s="76">
        <f>VLOOKUP(B37,Ingredients!$B$3:$C$44,2,FALSE)</f>
        <v>8</v>
      </c>
      <c r="D37" s="75" t="s">
        <v>36</v>
      </c>
      <c r="E37" s="77">
        <f>VLOOKUP(D37,Ingredients!$B$3:$C$44,2,FALSE)</f>
        <v>5</v>
      </c>
      <c r="F37" s="75" t="s">
        <v>48</v>
      </c>
      <c r="G37" s="77">
        <f>VLOOKUP(F37,Ingredients!$B$3:$C$44,2,FALSE)</f>
        <v>5</v>
      </c>
      <c r="H37" s="75" t="s">
        <v>62</v>
      </c>
      <c r="I37" s="77">
        <f>VLOOKUP(H37,Ingredients!$B$3:$C$44,2,FALSE)</f>
        <v>0</v>
      </c>
      <c r="J37" s="75" t="s">
        <v>62</v>
      </c>
      <c r="K37" s="78">
        <f>VLOOKUP(J37,Ingredients!$B$3:$C$44,2,FALSE)</f>
        <v>0</v>
      </c>
      <c r="L37" s="75" t="s">
        <v>62</v>
      </c>
      <c r="M37" s="79">
        <f>VLOOKUP(L37,Ingredients!$B$3:$C$44,2,FALSE)</f>
        <v>0</v>
      </c>
      <c r="N37" s="80">
        <f t="shared" si="1"/>
        <v>18</v>
      </c>
    </row>
    <row r="38">
      <c r="A38" s="83" t="s">
        <v>86</v>
      </c>
      <c r="B38" s="84" t="s">
        <v>42</v>
      </c>
      <c r="C38" s="85">
        <f>VLOOKUP(B38,Ingredients!$B$3:$C$44,2,FALSE)</f>
        <v>6</v>
      </c>
      <c r="D38" s="84" t="s">
        <v>34</v>
      </c>
      <c r="E38" s="86">
        <f>VLOOKUP(D38,Ingredients!$B$3:$C$44,2,FALSE)</f>
        <v>5</v>
      </c>
      <c r="F38" s="84" t="s">
        <v>54</v>
      </c>
      <c r="G38" s="86">
        <f>VLOOKUP(F38,Ingredients!$B$3:$C$44,2,FALSE)</f>
        <v>8</v>
      </c>
      <c r="H38" s="84" t="s">
        <v>29</v>
      </c>
      <c r="I38" s="86">
        <f>VLOOKUP(H38,Ingredients!$B$3:$C$44,2,FALSE)</f>
        <v>8</v>
      </c>
      <c r="J38" s="84" t="s">
        <v>62</v>
      </c>
      <c r="K38" s="87">
        <f>VLOOKUP(J38,Ingredients!$B$3:$C$44,2,FALSE)</f>
        <v>0</v>
      </c>
      <c r="L38" s="84" t="s">
        <v>62</v>
      </c>
      <c r="M38" s="88">
        <f>VLOOKUP(L38,Ingredients!$B$3:$C$44,2,FALSE)</f>
        <v>0</v>
      </c>
      <c r="N38" s="89">
        <f t="shared" si="1"/>
        <v>27</v>
      </c>
    </row>
    <row r="39">
      <c r="A39" s="90" t="s">
        <v>87</v>
      </c>
      <c r="B39" s="68" t="s">
        <v>37</v>
      </c>
      <c r="C39" s="69">
        <f>VLOOKUP(B39,Ingredients!$B$3:$C$44,2,FALSE)</f>
        <v>5</v>
      </c>
      <c r="D39" s="68" t="s">
        <v>24</v>
      </c>
      <c r="E39" s="70">
        <f>VLOOKUP(D39,Ingredients!$B$3:$C$44,2,FALSE)</f>
        <v>11</v>
      </c>
      <c r="F39" s="68" t="s">
        <v>55</v>
      </c>
      <c r="G39" s="70">
        <f>VLOOKUP(F39,Ingredients!$B$3:$C$44,2,FALSE)</f>
        <v>7</v>
      </c>
      <c r="H39" s="68" t="s">
        <v>62</v>
      </c>
      <c r="I39" s="70">
        <f>VLOOKUP(H39,Ingredients!$B$3:$C$44,2,FALSE)</f>
        <v>0</v>
      </c>
      <c r="J39" s="68" t="s">
        <v>62</v>
      </c>
      <c r="K39" s="71">
        <f>VLOOKUP(J39,Ingredients!$B$3:$C$44,2,FALSE)</f>
        <v>0</v>
      </c>
      <c r="L39" s="68" t="s">
        <v>62</v>
      </c>
      <c r="M39" s="72">
        <f>VLOOKUP(L39,Ingredients!$B$3:$C$44,2,FALSE)</f>
        <v>0</v>
      </c>
      <c r="N39" s="73">
        <f t="shared" si="1"/>
        <v>23</v>
      </c>
    </row>
    <row r="40">
      <c r="A40" s="81" t="s">
        <v>88</v>
      </c>
      <c r="B40" s="75" t="s">
        <v>37</v>
      </c>
      <c r="C40" s="76">
        <f>VLOOKUP(B40,Ingredients!$B$3:$C$44,2,FALSE)</f>
        <v>5</v>
      </c>
      <c r="D40" s="75" t="s">
        <v>32</v>
      </c>
      <c r="E40" s="77">
        <f>VLOOKUP(D40,Ingredients!$B$3:$C$44,2,FALSE)</f>
        <v>5</v>
      </c>
      <c r="F40" s="75" t="s">
        <v>55</v>
      </c>
      <c r="G40" s="77">
        <f>VLOOKUP(F40,Ingredients!$B$3:$C$44,2,FALSE)</f>
        <v>7</v>
      </c>
      <c r="H40" s="75" t="s">
        <v>62</v>
      </c>
      <c r="I40" s="77">
        <f>VLOOKUP(H40,Ingredients!$B$3:$C$44,2,FALSE)</f>
        <v>0</v>
      </c>
      <c r="J40" s="75" t="s">
        <v>62</v>
      </c>
      <c r="K40" s="78">
        <f>VLOOKUP(J40,Ingredients!$B$3:$C$44,2,FALSE)</f>
        <v>0</v>
      </c>
      <c r="L40" s="75" t="s">
        <v>62</v>
      </c>
      <c r="M40" s="79">
        <f>VLOOKUP(L40,Ingredients!$B$3:$C$44,2,FALSE)</f>
        <v>0</v>
      </c>
      <c r="N40" s="80">
        <f t="shared" si="1"/>
        <v>17</v>
      </c>
    </row>
    <row r="41">
      <c r="A41" s="83" t="s">
        <v>89</v>
      </c>
      <c r="B41" s="84" t="s">
        <v>31</v>
      </c>
      <c r="C41" s="85">
        <f>VLOOKUP(B41,Ingredients!$B$3:$C$44,2,FALSE)</f>
        <v>5</v>
      </c>
      <c r="D41" s="84" t="s">
        <v>55</v>
      </c>
      <c r="E41" s="86">
        <f>VLOOKUP(D41,Ingredients!$B$3:$C$44,2,FALSE)</f>
        <v>7</v>
      </c>
      <c r="F41" s="84" t="s">
        <v>24</v>
      </c>
      <c r="G41" s="86">
        <f>VLOOKUP(F41,Ingredients!$B$3:$C$44,2,FALSE)</f>
        <v>11</v>
      </c>
      <c r="H41" s="84" t="s">
        <v>32</v>
      </c>
      <c r="I41" s="86">
        <f>VLOOKUP(H41,Ingredients!$B$3:$C$44,2,FALSE)</f>
        <v>5</v>
      </c>
      <c r="J41" s="84" t="s">
        <v>62</v>
      </c>
      <c r="K41" s="87">
        <f>VLOOKUP(J41,Ingredients!$B$3:$C$44,2,FALSE)</f>
        <v>0</v>
      </c>
      <c r="L41" s="84" t="s">
        <v>62</v>
      </c>
      <c r="M41" s="88">
        <f>VLOOKUP(L41,Ingredients!$B$3:$C$44,2,FALSE)</f>
        <v>0</v>
      </c>
      <c r="N41" s="89">
        <f t="shared" si="1"/>
        <v>28</v>
      </c>
    </row>
    <row r="42">
      <c r="A42" s="81" t="s">
        <v>90</v>
      </c>
      <c r="B42" s="75" t="s">
        <v>38</v>
      </c>
      <c r="C42" s="76">
        <f>VLOOKUP(B42,Ingredients!$B$3:$C$44,2,FALSE)</f>
        <v>5</v>
      </c>
      <c r="D42" s="75" t="s">
        <v>33</v>
      </c>
      <c r="E42" s="77">
        <f>VLOOKUP(D42,Ingredients!$B$3:$C$44,2,FALSE)</f>
        <v>5</v>
      </c>
      <c r="F42" s="75" t="s">
        <v>40</v>
      </c>
      <c r="G42" s="77">
        <f>VLOOKUP(F42,Ingredients!$B$3:$C$44,2,FALSE)</f>
        <v>5</v>
      </c>
      <c r="H42" s="75" t="s">
        <v>62</v>
      </c>
      <c r="I42" s="77">
        <f>VLOOKUP(H42,Ingredients!$B$3:$C$44,2,FALSE)</f>
        <v>0</v>
      </c>
      <c r="J42" s="75" t="s">
        <v>62</v>
      </c>
      <c r="K42" s="78">
        <f>VLOOKUP(J42,Ingredients!$B$3:$C$44,2,FALSE)</f>
        <v>0</v>
      </c>
      <c r="L42" s="75" t="s">
        <v>62</v>
      </c>
      <c r="M42" s="79">
        <f>VLOOKUP(L42,Ingredients!$B$3:$C$44,2,FALSE)</f>
        <v>0</v>
      </c>
      <c r="N42" s="80">
        <f t="shared" si="1"/>
        <v>15</v>
      </c>
    </row>
    <row r="43">
      <c r="A43" s="90" t="s">
        <v>91</v>
      </c>
      <c r="B43" s="68" t="s">
        <v>39</v>
      </c>
      <c r="C43" s="69">
        <f>VLOOKUP(B43,Ingredients!$B$3:$C$44,2,FALSE)</f>
        <v>5</v>
      </c>
      <c r="D43" s="68" t="s">
        <v>24</v>
      </c>
      <c r="E43" s="70">
        <f>VLOOKUP(D43,Ingredients!$B$3:$C$44,2,FALSE)</f>
        <v>11</v>
      </c>
      <c r="F43" s="68" t="s">
        <v>55</v>
      </c>
      <c r="G43" s="70">
        <f>VLOOKUP(F43,Ingredients!$B$3:$C$44,2,FALSE)</f>
        <v>7</v>
      </c>
      <c r="H43" s="68" t="s">
        <v>62</v>
      </c>
      <c r="I43" s="70">
        <f>VLOOKUP(H43,Ingredients!$B$3:$C$44,2,FALSE)</f>
        <v>0</v>
      </c>
      <c r="J43" s="68" t="s">
        <v>62</v>
      </c>
      <c r="K43" s="71">
        <f>VLOOKUP(J43,Ingredients!$B$3:$C$44,2,FALSE)</f>
        <v>0</v>
      </c>
      <c r="L43" s="68" t="s">
        <v>62</v>
      </c>
      <c r="M43" s="72">
        <f>VLOOKUP(L43,Ingredients!$B$3:$C$44,2,FALSE)</f>
        <v>0</v>
      </c>
      <c r="N43" s="73">
        <f t="shared" si="1"/>
        <v>23</v>
      </c>
    </row>
    <row r="44">
      <c r="A44" s="90" t="s">
        <v>92</v>
      </c>
      <c r="B44" s="68" t="s">
        <v>24</v>
      </c>
      <c r="C44" s="69">
        <f>VLOOKUP(B44,Ingredients!$B$3:$C$44,2,FALSE)</f>
        <v>11</v>
      </c>
      <c r="D44" s="68" t="s">
        <v>31</v>
      </c>
      <c r="E44" s="70">
        <f>VLOOKUP(D44,Ingredients!$B$3:$C$44,2,FALSE)</f>
        <v>5</v>
      </c>
      <c r="F44" s="68" t="s">
        <v>37</v>
      </c>
      <c r="G44" s="70">
        <f>VLOOKUP(F44,Ingredients!$B$3:$C$44,2,FALSE)</f>
        <v>5</v>
      </c>
      <c r="H44" s="68" t="s">
        <v>62</v>
      </c>
      <c r="I44" s="70">
        <f>VLOOKUP(H44,Ingredients!$B$3:$C$44,2,FALSE)</f>
        <v>0</v>
      </c>
      <c r="J44" s="68" t="s">
        <v>62</v>
      </c>
      <c r="K44" s="71">
        <f>VLOOKUP(J44,Ingredients!$B$3:$C$44,2,FALSE)</f>
        <v>0</v>
      </c>
      <c r="L44" s="68" t="s">
        <v>62</v>
      </c>
      <c r="M44" s="72">
        <f>VLOOKUP(L44,Ingredients!$B$3:$C$44,2,FALSE)</f>
        <v>0</v>
      </c>
      <c r="N44" s="73">
        <f t="shared" si="1"/>
        <v>21</v>
      </c>
    </row>
    <row r="45">
      <c r="A45" s="91" t="s">
        <v>93</v>
      </c>
      <c r="B45" s="92" t="s">
        <v>46</v>
      </c>
      <c r="C45" s="93">
        <f>VLOOKUP(B45,Ingredients!$B$3:$C$44,2,FALSE)</f>
        <v>15</v>
      </c>
      <c r="D45" s="92" t="s">
        <v>39</v>
      </c>
      <c r="E45" s="94">
        <f>VLOOKUP(D45,Ingredients!$B$3:$C$44,2,FALSE)</f>
        <v>5</v>
      </c>
      <c r="F45" s="92" t="s">
        <v>59</v>
      </c>
      <c r="G45" s="94">
        <f>VLOOKUP(F45,Ingredients!$B$3:$C$44,2,FALSE)</f>
        <v>17</v>
      </c>
      <c r="H45" s="92" t="s">
        <v>62</v>
      </c>
      <c r="I45" s="94">
        <f>VLOOKUP(H45,Ingredients!$B$3:$C$44,2,FALSE)</f>
        <v>0</v>
      </c>
      <c r="J45" s="92" t="s">
        <v>62</v>
      </c>
      <c r="K45" s="95">
        <f>VLOOKUP(J45,Ingredients!$B$3:$C$44,2,FALSE)</f>
        <v>0</v>
      </c>
      <c r="L45" s="92" t="s">
        <v>62</v>
      </c>
      <c r="M45" s="96">
        <f>VLOOKUP(L45,Ingredients!$B$3:$C$44,2,FALSE)</f>
        <v>0</v>
      </c>
      <c r="N45" s="97">
        <f t="shared" si="1"/>
        <v>37</v>
      </c>
    </row>
    <row r="46">
      <c r="A46" s="81" t="s">
        <v>94</v>
      </c>
      <c r="B46" s="75" t="s">
        <v>49</v>
      </c>
      <c r="C46" s="76">
        <f>VLOOKUP(B46,Ingredients!$B$3:$C$44,2,FALSE)</f>
        <v>5</v>
      </c>
      <c r="D46" s="75" t="s">
        <v>27</v>
      </c>
      <c r="E46" s="77">
        <f>VLOOKUP(D46,Ingredients!$B$3:$C$44,2,FALSE)</f>
        <v>5</v>
      </c>
      <c r="F46" s="75" t="s">
        <v>40</v>
      </c>
      <c r="G46" s="77">
        <f>VLOOKUP(F46,Ingredients!$B$3:$C$44,2,FALSE)</f>
        <v>5</v>
      </c>
      <c r="H46" s="75" t="s">
        <v>62</v>
      </c>
      <c r="I46" s="77">
        <f>VLOOKUP(H46,Ingredients!$B$3:$C$44,2,FALSE)</f>
        <v>0</v>
      </c>
      <c r="J46" s="75" t="s">
        <v>62</v>
      </c>
      <c r="K46" s="78">
        <f>VLOOKUP(J46,Ingredients!$B$3:$C$44,2,FALSE)</f>
        <v>0</v>
      </c>
      <c r="L46" s="75" t="s">
        <v>62</v>
      </c>
      <c r="M46" s="79">
        <f>VLOOKUP(L46,Ingredients!$B$3:$C$44,2,FALSE)</f>
        <v>0</v>
      </c>
      <c r="N46" s="80">
        <f t="shared" si="1"/>
        <v>15</v>
      </c>
    </row>
    <row r="47">
      <c r="A47" s="81" t="s">
        <v>95</v>
      </c>
      <c r="B47" s="75" t="s">
        <v>49</v>
      </c>
      <c r="C47" s="76">
        <f>VLOOKUP(B47,Ingredients!$B$3:$C$44,2,FALSE)</f>
        <v>5</v>
      </c>
      <c r="D47" s="75" t="s">
        <v>38</v>
      </c>
      <c r="E47" s="77">
        <f>VLOOKUP(D47,Ingredients!$B$3:$C$44,2,FALSE)</f>
        <v>5</v>
      </c>
      <c r="F47" s="75" t="s">
        <v>28</v>
      </c>
      <c r="G47" s="77">
        <f>VLOOKUP(F47,Ingredients!$B$3:$C$44,2,FALSE)</f>
        <v>5</v>
      </c>
      <c r="H47" s="75" t="s">
        <v>62</v>
      </c>
      <c r="I47" s="77">
        <f>VLOOKUP(H47,Ingredients!$B$3:$C$44,2,FALSE)</f>
        <v>0</v>
      </c>
      <c r="J47" s="75" t="s">
        <v>62</v>
      </c>
      <c r="K47" s="78">
        <f>VLOOKUP(J47,Ingredients!$B$3:$C$44,2,FALSE)</f>
        <v>0</v>
      </c>
      <c r="L47" s="75" t="s">
        <v>62</v>
      </c>
      <c r="M47" s="79">
        <f>VLOOKUP(L47,Ingredients!$B$3:$C$44,2,FALSE)</f>
        <v>0</v>
      </c>
      <c r="N47" s="80">
        <f t="shared" si="1"/>
        <v>15</v>
      </c>
    </row>
    <row r="48">
      <c r="A48" s="81" t="s">
        <v>96</v>
      </c>
      <c r="B48" s="75" t="s">
        <v>42</v>
      </c>
      <c r="C48" s="76">
        <f>VLOOKUP(B48,Ingredients!$B$3:$C$44,2,FALSE)</f>
        <v>6</v>
      </c>
      <c r="D48" s="75" t="s">
        <v>39</v>
      </c>
      <c r="E48" s="77">
        <f>VLOOKUP(D48,Ingredients!$B$3:$C$44,2,FALSE)</f>
        <v>5</v>
      </c>
      <c r="F48" s="75" t="s">
        <v>55</v>
      </c>
      <c r="G48" s="77">
        <f>VLOOKUP(F48,Ingredients!$B$3:$C$44,2,FALSE)</f>
        <v>7</v>
      </c>
      <c r="H48" s="75" t="s">
        <v>62</v>
      </c>
      <c r="I48" s="77">
        <f>VLOOKUP(H48,Ingredients!$B$3:$C$44,2,FALSE)</f>
        <v>0</v>
      </c>
      <c r="J48" s="75" t="s">
        <v>62</v>
      </c>
      <c r="K48" s="78">
        <f>VLOOKUP(J48,Ingredients!$B$3:$C$44,2,FALSE)</f>
        <v>0</v>
      </c>
      <c r="L48" s="75" t="s">
        <v>62</v>
      </c>
      <c r="M48" s="79">
        <f>VLOOKUP(L48,Ingredients!$B$3:$C$44,2,FALSE)</f>
        <v>0</v>
      </c>
      <c r="N48" s="80">
        <f t="shared" si="1"/>
        <v>18</v>
      </c>
    </row>
    <row r="49">
      <c r="A49" s="90" t="s">
        <v>97</v>
      </c>
      <c r="B49" s="68" t="s">
        <v>43</v>
      </c>
      <c r="C49" s="69">
        <f>VLOOKUP(B49,Ingredients!$B$3:$C$44,2,FALSE)</f>
        <v>6</v>
      </c>
      <c r="D49" s="68" t="s">
        <v>27</v>
      </c>
      <c r="E49" s="70">
        <f>VLOOKUP(D49,Ingredients!$B$3:$C$44,2,FALSE)</f>
        <v>5</v>
      </c>
      <c r="F49" s="68" t="s">
        <v>50</v>
      </c>
      <c r="G49" s="70">
        <f>VLOOKUP(F49,Ingredients!$B$3:$C$44,2,FALSE)</f>
        <v>5</v>
      </c>
      <c r="H49" s="68" t="s">
        <v>57</v>
      </c>
      <c r="I49" s="70">
        <f>VLOOKUP(H49,Ingredients!$B$3:$C$44,2,FALSE)</f>
        <v>5</v>
      </c>
      <c r="J49" s="68" t="s">
        <v>62</v>
      </c>
      <c r="K49" s="71">
        <f>VLOOKUP(J49,Ingredients!$B$3:$C$44,2,FALSE)</f>
        <v>0</v>
      </c>
      <c r="L49" s="68" t="s">
        <v>62</v>
      </c>
      <c r="M49" s="72">
        <f>VLOOKUP(L49,Ingredients!$B$3:$C$44,2,FALSE)</f>
        <v>0</v>
      </c>
      <c r="N49" s="73">
        <f t="shared" si="1"/>
        <v>21</v>
      </c>
    </row>
    <row r="50">
      <c r="A50" s="83" t="s">
        <v>98</v>
      </c>
      <c r="B50" s="84" t="s">
        <v>46</v>
      </c>
      <c r="C50" s="85">
        <f>VLOOKUP(B50,Ingredients!$B$3:$C$44,2,FALSE)</f>
        <v>15</v>
      </c>
      <c r="D50" s="84" t="s">
        <v>22</v>
      </c>
      <c r="E50" s="86">
        <f>VLOOKUP(D50,Ingredients!$B$3:$C$44,2,FALSE)</f>
        <v>10</v>
      </c>
      <c r="F50" s="84" t="s">
        <v>62</v>
      </c>
      <c r="G50" s="86">
        <f>VLOOKUP(F50,Ingredients!$B$3:$C$44,2,FALSE)</f>
        <v>0</v>
      </c>
      <c r="H50" s="84" t="s">
        <v>62</v>
      </c>
      <c r="I50" s="86">
        <f>VLOOKUP(H50,Ingredients!$B$3:$C$44,2,FALSE)</f>
        <v>0</v>
      </c>
      <c r="J50" s="84" t="s">
        <v>62</v>
      </c>
      <c r="K50" s="87">
        <f>VLOOKUP(J50,Ingredients!$B$3:$C$44,2,FALSE)</f>
        <v>0</v>
      </c>
      <c r="L50" s="84" t="s">
        <v>62</v>
      </c>
      <c r="M50" s="88">
        <f>VLOOKUP(L50,Ingredients!$B$3:$C$44,2,FALSE)</f>
        <v>0</v>
      </c>
      <c r="N50" s="89">
        <f t="shared" si="1"/>
        <v>25</v>
      </c>
    </row>
    <row r="51">
      <c r="A51" s="83" t="s">
        <v>99</v>
      </c>
      <c r="B51" s="84" t="s">
        <v>46</v>
      </c>
      <c r="C51" s="85">
        <f>VLOOKUP(B51,Ingredients!$B$3:$C$44,2,FALSE)</f>
        <v>15</v>
      </c>
      <c r="D51" s="84" t="s">
        <v>57</v>
      </c>
      <c r="E51" s="86">
        <f>VLOOKUP(D51,Ingredients!$B$3:$C$44,2,FALSE)</f>
        <v>5</v>
      </c>
      <c r="F51" s="84" t="s">
        <v>54</v>
      </c>
      <c r="G51" s="86">
        <f>VLOOKUP(F51,Ingredients!$B$3:$C$44,2,FALSE)</f>
        <v>8</v>
      </c>
      <c r="H51" s="84" t="s">
        <v>62</v>
      </c>
      <c r="I51" s="86">
        <f>VLOOKUP(H51,Ingredients!$B$3:$C$44,2,FALSE)</f>
        <v>0</v>
      </c>
      <c r="J51" s="84" t="s">
        <v>62</v>
      </c>
      <c r="K51" s="87">
        <f>VLOOKUP(J51,Ingredients!$B$3:$C$44,2,FALSE)</f>
        <v>0</v>
      </c>
      <c r="L51" s="84" t="s">
        <v>62</v>
      </c>
      <c r="M51" s="88">
        <f>VLOOKUP(L51,Ingredients!$B$3:$C$44,2,FALSE)</f>
        <v>0</v>
      </c>
      <c r="N51" s="89">
        <f t="shared" si="1"/>
        <v>28</v>
      </c>
    </row>
    <row r="52">
      <c r="A52" s="91" t="s">
        <v>100</v>
      </c>
      <c r="B52" s="92" t="s">
        <v>46</v>
      </c>
      <c r="C52" s="93">
        <f>VLOOKUP(B52,Ingredients!$B$3:$C$44,2,FALSE)</f>
        <v>15</v>
      </c>
      <c r="D52" s="92" t="s">
        <v>39</v>
      </c>
      <c r="E52" s="94">
        <f>VLOOKUP(D52,Ingredients!$B$3:$C$44,2,FALSE)</f>
        <v>5</v>
      </c>
      <c r="F52" s="92" t="s">
        <v>34</v>
      </c>
      <c r="G52" s="94">
        <f>VLOOKUP(F52,Ingredients!$B$3:$C$44,2,FALSE)</f>
        <v>5</v>
      </c>
      <c r="H52" s="92" t="s">
        <v>26</v>
      </c>
      <c r="I52" s="94">
        <f>VLOOKUP(H52,Ingredients!$B$3:$C$44,2,FALSE)</f>
        <v>8</v>
      </c>
      <c r="J52" s="92" t="s">
        <v>62</v>
      </c>
      <c r="K52" s="95">
        <f>VLOOKUP(J52,Ingredients!$B$3:$C$44,2,FALSE)</f>
        <v>0</v>
      </c>
      <c r="L52" s="92" t="s">
        <v>62</v>
      </c>
      <c r="M52" s="96">
        <f>VLOOKUP(L52,Ingredients!$B$3:$C$44,2,FALSE)</f>
        <v>0</v>
      </c>
      <c r="N52" s="97">
        <f t="shared" si="1"/>
        <v>33</v>
      </c>
    </row>
    <row r="53">
      <c r="A53" s="83" t="s">
        <v>101</v>
      </c>
      <c r="B53" s="84" t="s">
        <v>46</v>
      </c>
      <c r="C53" s="85">
        <f>VLOOKUP(B53,Ingredients!$B$3:$C$44,2,FALSE)</f>
        <v>15</v>
      </c>
      <c r="D53" s="84" t="s">
        <v>37</v>
      </c>
      <c r="E53" s="86">
        <f>VLOOKUP(D53,Ingredients!$B$3:$C$44,2,FALSE)</f>
        <v>5</v>
      </c>
      <c r="F53" s="84" t="s">
        <v>52</v>
      </c>
      <c r="G53" s="86">
        <f>VLOOKUP(F53,Ingredients!$B$3:$C$44,2,FALSE)</f>
        <v>5</v>
      </c>
      <c r="H53" s="84" t="s">
        <v>62</v>
      </c>
      <c r="I53" s="86">
        <f>VLOOKUP(H53,Ingredients!$B$3:$C$44,2,FALSE)</f>
        <v>0</v>
      </c>
      <c r="J53" s="84" t="s">
        <v>62</v>
      </c>
      <c r="K53" s="87">
        <f>VLOOKUP(J53,Ingredients!$B$3:$C$44,2,FALSE)</f>
        <v>0</v>
      </c>
      <c r="L53" s="84" t="s">
        <v>62</v>
      </c>
      <c r="M53" s="88">
        <f>VLOOKUP(L53,Ingredients!$B$3:$C$44,2,FALSE)</f>
        <v>0</v>
      </c>
      <c r="N53" s="89">
        <f t="shared" si="1"/>
        <v>25</v>
      </c>
    </row>
    <row r="54">
      <c r="A54" s="91" t="s">
        <v>102</v>
      </c>
      <c r="B54" s="92" t="s">
        <v>45</v>
      </c>
      <c r="C54" s="93">
        <f>VLOOKUP(B54,Ingredients!$B$3:$C$44,2,FALSE)</f>
        <v>15</v>
      </c>
      <c r="D54" s="98" t="s">
        <v>57</v>
      </c>
      <c r="E54" s="94">
        <f>VLOOKUP(D54,Ingredients!$B$3:$C$44,2,FALSE)</f>
        <v>5</v>
      </c>
      <c r="F54" s="92" t="s">
        <v>40</v>
      </c>
      <c r="G54" s="94">
        <f>VLOOKUP(F54,Ingredients!$B$3:$C$44,2,FALSE)</f>
        <v>5</v>
      </c>
      <c r="H54" s="92" t="s">
        <v>54</v>
      </c>
      <c r="I54" s="94">
        <f>VLOOKUP(H54,Ingredients!$B$3:$C$44,2,FALSE)</f>
        <v>8</v>
      </c>
      <c r="J54" s="92" t="s">
        <v>51</v>
      </c>
      <c r="K54" s="95">
        <f>VLOOKUP(J54,Ingredients!$B$3:$C$44,2,FALSE)</f>
        <v>10</v>
      </c>
      <c r="L54" s="92" t="s">
        <v>34</v>
      </c>
      <c r="M54" s="96">
        <f>VLOOKUP(L54,Ingredients!$B$3:$C$44,2,FALSE)</f>
        <v>5</v>
      </c>
      <c r="N54" s="97">
        <f t="shared" si="1"/>
        <v>48</v>
      </c>
    </row>
    <row r="55">
      <c r="A55" s="91" t="s">
        <v>103</v>
      </c>
      <c r="B55" s="92" t="s">
        <v>45</v>
      </c>
      <c r="C55" s="93">
        <f>VLOOKUP(B55,Ingredients!$B$3:$C$44,2,FALSE)</f>
        <v>15</v>
      </c>
      <c r="D55" s="92" t="s">
        <v>47</v>
      </c>
      <c r="E55" s="94">
        <f>VLOOKUP(D55,Ingredients!$B$3:$C$44,2,FALSE)</f>
        <v>5</v>
      </c>
      <c r="F55" s="92" t="s">
        <v>41</v>
      </c>
      <c r="G55" s="94">
        <f>VLOOKUP(F55,Ingredients!$B$3:$C$44,2,FALSE)</f>
        <v>5</v>
      </c>
      <c r="H55" s="92" t="s">
        <v>57</v>
      </c>
      <c r="I55" s="94">
        <f>VLOOKUP(H55,Ingredients!$B$3:$C$44,2,FALSE)</f>
        <v>5</v>
      </c>
      <c r="J55" s="92" t="s">
        <v>62</v>
      </c>
      <c r="K55" s="95">
        <f>VLOOKUP(J55,Ingredients!$B$3:$C$44,2,FALSE)</f>
        <v>0</v>
      </c>
      <c r="L55" s="92" t="s">
        <v>62</v>
      </c>
      <c r="M55" s="96">
        <f>VLOOKUP(L55,Ingredients!$B$3:$C$44,2,FALSE)</f>
        <v>0</v>
      </c>
      <c r="N55" s="97">
        <f t="shared" si="1"/>
        <v>30</v>
      </c>
    </row>
    <row r="56">
      <c r="A56" s="83" t="s">
        <v>104</v>
      </c>
      <c r="B56" s="84" t="s">
        <v>45</v>
      </c>
      <c r="C56" s="85">
        <f>VLOOKUP(B56,Ingredients!$B$3:$C$44,2,FALSE)</f>
        <v>15</v>
      </c>
      <c r="D56" s="84" t="s">
        <v>57</v>
      </c>
      <c r="E56" s="86">
        <f>VLOOKUP(D56,Ingredients!$B$3:$C$44,2,FALSE)</f>
        <v>5</v>
      </c>
      <c r="F56" s="84" t="s">
        <v>26</v>
      </c>
      <c r="G56" s="86">
        <f>VLOOKUP(F56,Ingredients!$B$3:$C$44,2,FALSE)</f>
        <v>8</v>
      </c>
      <c r="H56" s="84" t="s">
        <v>62</v>
      </c>
      <c r="I56" s="86">
        <f>VLOOKUP(H56,Ingredients!$B$3:$C$44,2,FALSE)</f>
        <v>0</v>
      </c>
      <c r="J56" s="84" t="s">
        <v>62</v>
      </c>
      <c r="K56" s="87">
        <f>VLOOKUP(J56,Ingredients!$B$3:$C$44,2,FALSE)</f>
        <v>0</v>
      </c>
      <c r="L56" s="84" t="s">
        <v>62</v>
      </c>
      <c r="M56" s="88">
        <f>VLOOKUP(L56,Ingredients!$B$3:$C$44,2,FALSE)</f>
        <v>0</v>
      </c>
      <c r="N56" s="89">
        <f t="shared" si="1"/>
        <v>28</v>
      </c>
    </row>
    <row r="57">
      <c r="A57" s="83" t="s">
        <v>105</v>
      </c>
      <c r="B57" s="84" t="s">
        <v>45</v>
      </c>
      <c r="C57" s="85">
        <f>VLOOKUP(B57,Ingredients!$B$3:$C$44,2,FALSE)</f>
        <v>15</v>
      </c>
      <c r="D57" s="84" t="s">
        <v>34</v>
      </c>
      <c r="E57" s="86">
        <f>VLOOKUP(D57,Ingredients!$B$3:$C$44,2,FALSE)</f>
        <v>5</v>
      </c>
      <c r="F57" s="84" t="s">
        <v>57</v>
      </c>
      <c r="G57" s="86">
        <f>VLOOKUP(F57,Ingredients!$B$3:$C$44,2,FALSE)</f>
        <v>5</v>
      </c>
      <c r="H57" s="84" t="s">
        <v>62</v>
      </c>
      <c r="I57" s="86">
        <f>VLOOKUP(H57,Ingredients!$B$3:$C$44,2,FALSE)</f>
        <v>0</v>
      </c>
      <c r="J57" s="84" t="s">
        <v>62</v>
      </c>
      <c r="K57" s="87">
        <f>VLOOKUP(J57,Ingredients!$B$3:$C$44,2,FALSE)</f>
        <v>0</v>
      </c>
      <c r="L57" s="84" t="s">
        <v>62</v>
      </c>
      <c r="M57" s="88">
        <f>VLOOKUP(L57,Ingredients!$B$3:$C$44,2,FALSE)</f>
        <v>0</v>
      </c>
      <c r="N57" s="89">
        <f t="shared" si="1"/>
        <v>25</v>
      </c>
    </row>
    <row r="58">
      <c r="A58" s="90" t="s">
        <v>106</v>
      </c>
      <c r="B58" s="68" t="s">
        <v>26</v>
      </c>
      <c r="C58" s="69">
        <f>VLOOKUP(B58,Ingredients!$B$3:$C$44,2,FALSE)</f>
        <v>8</v>
      </c>
      <c r="D58" s="68" t="s">
        <v>42</v>
      </c>
      <c r="E58" s="70">
        <f>VLOOKUP(D58,Ingredients!$B$3:$C$44,2,FALSE)</f>
        <v>6</v>
      </c>
      <c r="F58" s="68" t="s">
        <v>41</v>
      </c>
      <c r="G58" s="70">
        <f>VLOOKUP(F58,Ingredients!$B$3:$C$44,2,FALSE)</f>
        <v>5</v>
      </c>
      <c r="H58" s="68" t="s">
        <v>47</v>
      </c>
      <c r="I58" s="70">
        <f>VLOOKUP(H58,Ingredients!$B$3:$C$44,2,FALSE)</f>
        <v>5</v>
      </c>
      <c r="J58" s="68" t="s">
        <v>62</v>
      </c>
      <c r="K58" s="71">
        <f>VLOOKUP(J58,Ingredients!$B$3:$C$44,2,FALSE)</f>
        <v>0</v>
      </c>
      <c r="L58" s="68" t="s">
        <v>62</v>
      </c>
      <c r="M58" s="72">
        <f>VLOOKUP(L58,Ingredients!$B$3:$C$44,2,FALSE)</f>
        <v>0</v>
      </c>
      <c r="N58" s="73">
        <f t="shared" si="1"/>
        <v>24</v>
      </c>
    </row>
    <row r="59">
      <c r="A59" s="81" t="s">
        <v>107</v>
      </c>
      <c r="B59" s="75" t="s">
        <v>26</v>
      </c>
      <c r="C59" s="76">
        <f>VLOOKUP(B59,Ingredients!$B$3:$C$44,2,FALSE)</f>
        <v>8</v>
      </c>
      <c r="D59" s="75" t="s">
        <v>57</v>
      </c>
      <c r="E59" s="77">
        <f>VLOOKUP(D59,Ingredients!$B$3:$C$44,2,FALSE)</f>
        <v>5</v>
      </c>
      <c r="F59" s="75" t="s">
        <v>40</v>
      </c>
      <c r="G59" s="77">
        <f>VLOOKUP(F59,Ingredients!$B$3:$C$44,2,FALSE)</f>
        <v>5</v>
      </c>
      <c r="H59" s="75" t="s">
        <v>62</v>
      </c>
      <c r="I59" s="77">
        <f>VLOOKUP(H59,Ingredients!$B$3:$C$44,2,FALSE)</f>
        <v>0</v>
      </c>
      <c r="J59" s="75" t="s">
        <v>62</v>
      </c>
      <c r="K59" s="78">
        <f>VLOOKUP(J59,Ingredients!$B$3:$C$44,2,FALSE)</f>
        <v>0</v>
      </c>
      <c r="L59" s="75" t="s">
        <v>62</v>
      </c>
      <c r="M59" s="79">
        <f>VLOOKUP(L59,Ingredients!$B$3:$C$44,2,FALSE)</f>
        <v>0</v>
      </c>
      <c r="N59" s="80">
        <f t="shared" si="1"/>
        <v>18</v>
      </c>
    </row>
    <row r="60">
      <c r="A60" s="83" t="s">
        <v>108</v>
      </c>
      <c r="B60" s="84" t="s">
        <v>48</v>
      </c>
      <c r="C60" s="85">
        <f>VLOOKUP(B60,Ingredients!$B$3:$C$44,2,FALSE)</f>
        <v>5</v>
      </c>
      <c r="D60" s="84" t="s">
        <v>59</v>
      </c>
      <c r="E60" s="86">
        <f>VLOOKUP(D60,Ingredients!$B$3:$C$44,2,FALSE)</f>
        <v>17</v>
      </c>
      <c r="F60" s="84" t="s">
        <v>40</v>
      </c>
      <c r="G60" s="86">
        <f>VLOOKUP(F60,Ingredients!$B$3:$C$44,2,FALSE)</f>
        <v>5</v>
      </c>
      <c r="H60" s="84" t="s">
        <v>62</v>
      </c>
      <c r="I60" s="86">
        <f>VLOOKUP(H60,Ingredients!$B$3:$C$44,2,FALSE)</f>
        <v>0</v>
      </c>
      <c r="J60" s="84" t="s">
        <v>62</v>
      </c>
      <c r="K60" s="87">
        <f>VLOOKUP(J60,Ingredients!$B$3:$C$44,2,FALSE)</f>
        <v>0</v>
      </c>
      <c r="L60" s="84" t="s">
        <v>62</v>
      </c>
      <c r="M60" s="88">
        <f>VLOOKUP(L60,Ingredients!$B$3:$C$44,2,FALSE)</f>
        <v>0</v>
      </c>
      <c r="N60" s="89">
        <f t="shared" si="1"/>
        <v>27</v>
      </c>
    </row>
    <row r="61">
      <c r="A61" s="81" t="s">
        <v>15</v>
      </c>
      <c r="B61" s="75" t="s">
        <v>29</v>
      </c>
      <c r="C61" s="76">
        <f>VLOOKUP(B61,Ingredients!$B$3:$C$44,2,FALSE)</f>
        <v>8</v>
      </c>
      <c r="D61" s="75" t="s">
        <v>49</v>
      </c>
      <c r="E61" s="77">
        <f>VLOOKUP(D61,Ingredients!$B$3:$C$44,2,FALSE)</f>
        <v>5</v>
      </c>
      <c r="F61" s="75" t="s">
        <v>57</v>
      </c>
      <c r="G61" s="77">
        <f>VLOOKUP(F61,Ingredients!$B$3:$C$44,2,FALSE)</f>
        <v>5</v>
      </c>
      <c r="H61" s="75" t="s">
        <v>62</v>
      </c>
      <c r="I61" s="77">
        <f>VLOOKUP(H61,Ingredients!$B$3:$C$44,2,FALSE)</f>
        <v>0</v>
      </c>
      <c r="J61" s="75" t="s">
        <v>62</v>
      </c>
      <c r="K61" s="78">
        <f>VLOOKUP(J61,Ingredients!$B$3:$C$44,2,FALSE)</f>
        <v>0</v>
      </c>
      <c r="L61" s="75" t="s">
        <v>62</v>
      </c>
      <c r="M61" s="79">
        <f>VLOOKUP(L61,Ingredients!$B$3:$C$44,2,FALSE)</f>
        <v>0</v>
      </c>
      <c r="N61" s="80">
        <f t="shared" si="1"/>
        <v>18</v>
      </c>
    </row>
    <row r="62">
      <c r="A62" s="81" t="s">
        <v>17</v>
      </c>
      <c r="B62" s="75" t="s">
        <v>29</v>
      </c>
      <c r="C62" s="76">
        <f>VLOOKUP(B62,Ingredients!$B$3:$C$44,2,FALSE)</f>
        <v>8</v>
      </c>
      <c r="D62" s="75" t="s">
        <v>49</v>
      </c>
      <c r="E62" s="77">
        <f>VLOOKUP(D62,Ingredients!$B$3:$C$44,2,FALSE)</f>
        <v>5</v>
      </c>
      <c r="F62" s="75" t="s">
        <v>37</v>
      </c>
      <c r="G62" s="77">
        <f>VLOOKUP(F62,Ingredients!$B$3:$C$44,2,FALSE)</f>
        <v>5</v>
      </c>
      <c r="H62" s="75" t="s">
        <v>62</v>
      </c>
      <c r="I62" s="77">
        <f>VLOOKUP(H62,Ingredients!$B$3:$C$44,2,FALSE)</f>
        <v>0</v>
      </c>
      <c r="J62" s="75" t="s">
        <v>62</v>
      </c>
      <c r="K62" s="78">
        <f>VLOOKUP(J62,Ingredients!$B$3:$C$44,2,FALSE)</f>
        <v>0</v>
      </c>
      <c r="L62" s="75" t="s">
        <v>62</v>
      </c>
      <c r="M62" s="79">
        <f>VLOOKUP(L62,Ingredients!$B$3:$C$44,2,FALSE)</f>
        <v>0</v>
      </c>
      <c r="N62" s="80">
        <f t="shared" si="1"/>
        <v>18</v>
      </c>
    </row>
    <row r="63">
      <c r="A63" s="81" t="s">
        <v>109</v>
      </c>
      <c r="B63" s="75" t="s">
        <v>29</v>
      </c>
      <c r="C63" s="76">
        <f>VLOOKUP(B63,Ingredients!$B$3:$C$44,2,FALSE)</f>
        <v>8</v>
      </c>
      <c r="D63" s="82" t="s">
        <v>36</v>
      </c>
      <c r="E63" s="77">
        <f>VLOOKUP(D63,Ingredients!$B$3:$C$44,2,FALSE)</f>
        <v>5</v>
      </c>
      <c r="F63" s="75" t="s">
        <v>48</v>
      </c>
      <c r="G63" s="77">
        <f>VLOOKUP(F63,Ingredients!$B$3:$C$44,2,FALSE)</f>
        <v>5</v>
      </c>
      <c r="H63" s="75" t="s">
        <v>62</v>
      </c>
      <c r="I63" s="77">
        <f>VLOOKUP(H63,Ingredients!$B$3:$C$44,2,FALSE)</f>
        <v>0</v>
      </c>
      <c r="J63" s="75" t="s">
        <v>62</v>
      </c>
      <c r="K63" s="78">
        <f>VLOOKUP(J63,Ingredients!$B$3:$C$44,2,FALSE)</f>
        <v>0</v>
      </c>
      <c r="L63" s="75" t="s">
        <v>62</v>
      </c>
      <c r="M63" s="79">
        <f>VLOOKUP(L63,Ingredients!$B$3:$C$44,2,FALSE)</f>
        <v>0</v>
      </c>
      <c r="N63" s="80">
        <f t="shared" si="1"/>
        <v>18</v>
      </c>
    </row>
    <row r="64">
      <c r="A64" s="90" t="s">
        <v>110</v>
      </c>
      <c r="B64" s="68" t="s">
        <v>48</v>
      </c>
      <c r="C64" s="69">
        <f>VLOOKUP(B64,Ingredients!$B$3:$C$44,2,FALSE)</f>
        <v>5</v>
      </c>
      <c r="D64" s="68" t="s">
        <v>58</v>
      </c>
      <c r="E64" s="70">
        <f>VLOOKUP(D64,Ingredients!$B$3:$C$44,2,FALSE)</f>
        <v>5</v>
      </c>
      <c r="F64" s="68" t="s">
        <v>31</v>
      </c>
      <c r="G64" s="70">
        <f>VLOOKUP(F64,Ingredients!$B$3:$C$44,2,FALSE)</f>
        <v>5</v>
      </c>
      <c r="H64" s="68" t="s">
        <v>37</v>
      </c>
      <c r="I64" s="70">
        <f>VLOOKUP(H64,Ingredients!$B$3:$C$44,2,FALSE)</f>
        <v>5</v>
      </c>
      <c r="J64" s="68" t="s">
        <v>62</v>
      </c>
      <c r="K64" s="71">
        <f>VLOOKUP(J64,Ingredients!$B$3:$C$44,2,FALSE)</f>
        <v>0</v>
      </c>
      <c r="L64" s="68" t="s">
        <v>62</v>
      </c>
      <c r="M64" s="72">
        <f>VLOOKUP(L64,Ingredients!$B$3:$C$44,2,FALSE)</f>
        <v>0</v>
      </c>
      <c r="N64" s="73">
        <f t="shared" si="1"/>
        <v>20</v>
      </c>
    </row>
    <row r="65">
      <c r="A65" s="91" t="s">
        <v>111</v>
      </c>
      <c r="B65" s="92" t="s">
        <v>48</v>
      </c>
      <c r="C65" s="93">
        <f>VLOOKUP(B65,Ingredients!$B$3:$C$44,2,FALSE)</f>
        <v>5</v>
      </c>
      <c r="D65" s="92" t="s">
        <v>34</v>
      </c>
      <c r="E65" s="94">
        <f>VLOOKUP(D65,Ingredients!$B$3:$C$44,2,FALSE)</f>
        <v>5</v>
      </c>
      <c r="F65" s="92" t="s">
        <v>60</v>
      </c>
      <c r="G65" s="94">
        <f>VLOOKUP(F65,Ingredients!$B$3:$C$44,2,FALSE)</f>
        <v>11</v>
      </c>
      <c r="H65" s="92" t="s">
        <v>61</v>
      </c>
      <c r="I65" s="94">
        <f>VLOOKUP(H65,Ingredients!$B$3:$C$44,2,FALSE)</f>
        <v>11</v>
      </c>
      <c r="J65" s="92" t="s">
        <v>62</v>
      </c>
      <c r="K65" s="95">
        <f>VLOOKUP(J65,Ingredients!$B$3:$C$44,2,FALSE)</f>
        <v>0</v>
      </c>
      <c r="L65" s="92" t="s">
        <v>62</v>
      </c>
      <c r="M65" s="96">
        <f>VLOOKUP(L65,Ingredients!$B$3:$C$44,2,FALSE)</f>
        <v>0</v>
      </c>
      <c r="N65" s="97">
        <f t="shared" si="1"/>
        <v>32</v>
      </c>
    </row>
    <row r="66">
      <c r="A66" s="83" t="s">
        <v>112</v>
      </c>
      <c r="B66" s="84" t="s">
        <v>2</v>
      </c>
      <c r="C66" s="85">
        <f>VLOOKUP(B66,Ingredients!$B$3:$C$44,2,FALSE)</f>
        <v>5</v>
      </c>
      <c r="D66" s="84" t="s">
        <v>49</v>
      </c>
      <c r="E66" s="86">
        <f>VLOOKUP(D66,Ingredients!$B$3:$C$44,2,FALSE)</f>
        <v>5</v>
      </c>
      <c r="F66" s="84" t="s">
        <v>57</v>
      </c>
      <c r="G66" s="86">
        <f>VLOOKUP(F66,Ingredients!$B$3:$C$44,2,FALSE)</f>
        <v>5</v>
      </c>
      <c r="H66" s="84" t="s">
        <v>22</v>
      </c>
      <c r="I66" s="86">
        <f>VLOOKUP(H66,Ingredients!$B$3:$C$44,2,FALSE)</f>
        <v>10</v>
      </c>
      <c r="J66" s="84" t="s">
        <v>62</v>
      </c>
      <c r="K66" s="87">
        <f>VLOOKUP(J66,Ingredients!$B$3:$C$44,2,FALSE)</f>
        <v>0</v>
      </c>
      <c r="L66" s="84" t="s">
        <v>62</v>
      </c>
      <c r="M66" s="88">
        <f>VLOOKUP(L66,Ingredients!$B$3:$C$44,2,FALSE)</f>
        <v>0</v>
      </c>
      <c r="N66" s="89">
        <f t="shared" si="1"/>
        <v>25</v>
      </c>
    </row>
    <row r="67">
      <c r="A67" s="90" t="s">
        <v>113</v>
      </c>
      <c r="B67" s="68" t="s">
        <v>49</v>
      </c>
      <c r="C67" s="69">
        <f>VLOOKUP(B67,Ingredients!$B$3:$C$44,2,FALSE)</f>
        <v>5</v>
      </c>
      <c r="D67" s="68" t="s">
        <v>37</v>
      </c>
      <c r="E67" s="70">
        <f>VLOOKUP(D67,Ingredients!$B$3:$C$44,2,FALSE)</f>
        <v>5</v>
      </c>
      <c r="F67" s="68" t="s">
        <v>55</v>
      </c>
      <c r="G67" s="70">
        <f>VLOOKUP(F67,Ingredients!$B$3:$C$44,2,FALSE)</f>
        <v>7</v>
      </c>
      <c r="H67" s="68" t="s">
        <v>39</v>
      </c>
      <c r="I67" s="70">
        <f>VLOOKUP(H67,Ingredients!$B$3:$C$44,2,FALSE)</f>
        <v>5</v>
      </c>
      <c r="J67" s="68" t="s">
        <v>62</v>
      </c>
      <c r="K67" s="71">
        <f>VLOOKUP(J67,Ingredients!$B$3:$C$44,2,FALSE)</f>
        <v>0</v>
      </c>
      <c r="L67" s="68" t="s">
        <v>62</v>
      </c>
      <c r="M67" s="72">
        <f>VLOOKUP(L67,Ingredients!$B$3:$C$44,2,FALSE)</f>
        <v>0</v>
      </c>
      <c r="N67" s="73">
        <f t="shared" si="1"/>
        <v>22</v>
      </c>
    </row>
    <row r="68">
      <c r="A68" s="81" t="s">
        <v>114</v>
      </c>
      <c r="B68" s="75" t="s">
        <v>52</v>
      </c>
      <c r="C68" s="76">
        <f>VLOOKUP(B68,Ingredients!$B$3:$C$44,2,FALSE)</f>
        <v>5</v>
      </c>
      <c r="D68" s="75" t="s">
        <v>49</v>
      </c>
      <c r="E68" s="77">
        <f>VLOOKUP(D68,Ingredients!$B$3:$C$44,2,FALSE)</f>
        <v>5</v>
      </c>
      <c r="F68" s="75" t="s">
        <v>50</v>
      </c>
      <c r="G68" s="77">
        <f>VLOOKUP(F68,Ingredients!$B$3:$C$44,2,FALSE)</f>
        <v>5</v>
      </c>
      <c r="H68" s="75" t="s">
        <v>62</v>
      </c>
      <c r="I68" s="77">
        <f>VLOOKUP(H68,Ingredients!$B$3:$C$44,2,FALSE)</f>
        <v>0</v>
      </c>
      <c r="J68" s="75" t="s">
        <v>62</v>
      </c>
      <c r="K68" s="78">
        <f>VLOOKUP(J68,Ingredients!$B$3:$C$44,2,FALSE)</f>
        <v>0</v>
      </c>
      <c r="L68" s="75" t="s">
        <v>62</v>
      </c>
      <c r="M68" s="79">
        <f>VLOOKUP(L68,Ingredients!$B$3:$C$44,2,FALSE)</f>
        <v>0</v>
      </c>
      <c r="N68" s="80">
        <f t="shared" si="1"/>
        <v>15</v>
      </c>
    </row>
    <row r="69">
      <c r="A69" s="81" t="s">
        <v>115</v>
      </c>
      <c r="B69" s="75" t="s">
        <v>56</v>
      </c>
      <c r="C69" s="76">
        <f>VLOOKUP(B69,Ingredients!$B$3:$C$44,2,FALSE)</f>
        <v>5</v>
      </c>
      <c r="D69" s="75" t="s">
        <v>49</v>
      </c>
      <c r="E69" s="77">
        <f>VLOOKUP(D69,Ingredients!$B$3:$C$44,2,FALSE)</f>
        <v>5</v>
      </c>
      <c r="F69" s="75" t="s">
        <v>50</v>
      </c>
      <c r="G69" s="77">
        <f>VLOOKUP(F69,Ingredients!$B$3:$C$44,2,FALSE)</f>
        <v>5</v>
      </c>
      <c r="H69" s="75" t="s">
        <v>62</v>
      </c>
      <c r="I69" s="77">
        <f>VLOOKUP(H69,Ingredients!$B$3:$C$44,2,FALSE)</f>
        <v>0</v>
      </c>
      <c r="J69" s="75" t="s">
        <v>62</v>
      </c>
      <c r="K69" s="78">
        <f>VLOOKUP(J69,Ingredients!$B$3:$C$44,2,FALSE)</f>
        <v>0</v>
      </c>
      <c r="L69" s="75" t="s">
        <v>62</v>
      </c>
      <c r="M69" s="79">
        <f>VLOOKUP(L69,Ingredients!$B$3:$C$44,2,FALSE)</f>
        <v>0</v>
      </c>
      <c r="N69" s="80">
        <f t="shared" si="1"/>
        <v>15</v>
      </c>
    </row>
    <row r="70">
      <c r="A70" s="90" t="s">
        <v>116</v>
      </c>
      <c r="B70" s="68" t="s">
        <v>50</v>
      </c>
      <c r="C70" s="69">
        <f>VLOOKUP(B70,Ingredients!$B$3:$C$44,2,FALSE)</f>
        <v>5</v>
      </c>
      <c r="D70" s="68" t="s">
        <v>57</v>
      </c>
      <c r="E70" s="70">
        <f>VLOOKUP(D70,Ingredients!$B$3:$C$44,2,FALSE)</f>
        <v>5</v>
      </c>
      <c r="F70" s="68" t="s">
        <v>34</v>
      </c>
      <c r="G70" s="70">
        <f>VLOOKUP(F70,Ingredients!$B$3:$C$44,2,FALSE)</f>
        <v>5</v>
      </c>
      <c r="H70" s="68" t="s">
        <v>42</v>
      </c>
      <c r="I70" s="70">
        <f>VLOOKUP(H70,Ingredients!$B$3:$C$44,2,FALSE)</f>
        <v>6</v>
      </c>
      <c r="J70" s="68" t="s">
        <v>62</v>
      </c>
      <c r="K70" s="71">
        <f>VLOOKUP(J70,Ingredients!$B$3:$C$44,2,FALSE)</f>
        <v>0</v>
      </c>
      <c r="L70" s="68" t="s">
        <v>62</v>
      </c>
      <c r="M70" s="72">
        <f>VLOOKUP(L70,Ingredients!$B$3:$C$44,2,FALSE)</f>
        <v>0</v>
      </c>
      <c r="N70" s="73">
        <f t="shared" si="1"/>
        <v>21</v>
      </c>
    </row>
    <row r="71">
      <c r="A71" s="81" t="s">
        <v>117</v>
      </c>
      <c r="B71" s="75" t="s">
        <v>50</v>
      </c>
      <c r="C71" s="76">
        <f>VLOOKUP(B71,Ingredients!$B$3:$C$44,2,FALSE)</f>
        <v>5</v>
      </c>
      <c r="D71" s="75" t="s">
        <v>28</v>
      </c>
      <c r="E71" s="77">
        <f>VLOOKUP(D71,Ingredients!$B$3:$C$44,2,FALSE)</f>
        <v>5</v>
      </c>
      <c r="F71" s="75" t="s">
        <v>57</v>
      </c>
      <c r="G71" s="77">
        <f>VLOOKUP(F71,Ingredients!$B$3:$C$44,2,FALSE)</f>
        <v>5</v>
      </c>
      <c r="H71" s="75" t="s">
        <v>62</v>
      </c>
      <c r="I71" s="77">
        <f>VLOOKUP(H71,Ingredients!$B$3:$C$44,2,FALSE)</f>
        <v>0</v>
      </c>
      <c r="J71" s="75" t="s">
        <v>62</v>
      </c>
      <c r="K71" s="78">
        <f>VLOOKUP(J71,Ingredients!$B$3:$C$44,2,FALSE)</f>
        <v>0</v>
      </c>
      <c r="L71" s="75" t="s">
        <v>62</v>
      </c>
      <c r="M71" s="79">
        <f>VLOOKUP(L71,Ingredients!$B$3:$C$44,2,FALSE)</f>
        <v>0</v>
      </c>
      <c r="N71" s="80">
        <f t="shared" si="1"/>
        <v>15</v>
      </c>
    </row>
    <row r="72">
      <c r="A72" s="81" t="s">
        <v>118</v>
      </c>
      <c r="B72" s="75" t="s">
        <v>32</v>
      </c>
      <c r="C72" s="76">
        <f>VLOOKUP(B72,Ingredients!$B$3:$C$44,2,FALSE)</f>
        <v>5</v>
      </c>
      <c r="D72" s="75" t="s">
        <v>47</v>
      </c>
      <c r="E72" s="77">
        <f>VLOOKUP(D72,Ingredients!$B$3:$C$44,2,FALSE)</f>
        <v>5</v>
      </c>
      <c r="F72" s="75" t="s">
        <v>41</v>
      </c>
      <c r="G72" s="77">
        <f>VLOOKUP(F72,Ingredients!$B$3:$C$44,2,FALSE)</f>
        <v>5</v>
      </c>
      <c r="H72" s="75" t="s">
        <v>62</v>
      </c>
      <c r="I72" s="77">
        <f>VLOOKUP(H72,Ingredients!$B$3:$C$44,2,FALSE)</f>
        <v>0</v>
      </c>
      <c r="J72" s="75" t="s">
        <v>62</v>
      </c>
      <c r="K72" s="78">
        <f>VLOOKUP(J72,Ingredients!$B$3:$C$44,2,FALSE)</f>
        <v>0</v>
      </c>
      <c r="L72" s="75" t="s">
        <v>62</v>
      </c>
      <c r="M72" s="79">
        <f>VLOOKUP(L72,Ingredients!$B$3:$C$44,2,FALSE)</f>
        <v>0</v>
      </c>
      <c r="N72" s="80">
        <f t="shared" si="1"/>
        <v>15</v>
      </c>
    </row>
    <row r="73">
      <c r="A73" s="81" t="s">
        <v>119</v>
      </c>
      <c r="B73" s="75" t="s">
        <v>56</v>
      </c>
      <c r="C73" s="76">
        <f>VLOOKUP(B73,Ingredients!$B$3:$C$44,2,FALSE)</f>
        <v>5</v>
      </c>
      <c r="D73" s="75" t="s">
        <v>42</v>
      </c>
      <c r="E73" s="77">
        <f>VLOOKUP(D73,Ingredients!$B$3:$C$44,2,FALSE)</f>
        <v>6</v>
      </c>
      <c r="F73" s="75" t="s">
        <v>50</v>
      </c>
      <c r="G73" s="77">
        <f>VLOOKUP(F73,Ingredients!$B$3:$C$44,2,FALSE)</f>
        <v>5</v>
      </c>
      <c r="H73" s="75" t="s">
        <v>62</v>
      </c>
      <c r="I73" s="77">
        <f>VLOOKUP(H73,Ingredients!$B$3:$C$44,2,FALSE)</f>
        <v>0</v>
      </c>
      <c r="J73" s="75" t="s">
        <v>62</v>
      </c>
      <c r="K73" s="78">
        <f>VLOOKUP(J73,Ingredients!$B$3:$C$44,2,FALSE)</f>
        <v>0</v>
      </c>
      <c r="L73" s="75" t="s">
        <v>62</v>
      </c>
      <c r="M73" s="79">
        <f>VLOOKUP(L73,Ingredients!$B$3:$C$44,2,FALSE)</f>
        <v>0</v>
      </c>
      <c r="N73" s="80">
        <f t="shared" si="1"/>
        <v>16</v>
      </c>
    </row>
    <row r="74">
      <c r="A74" s="81" t="s">
        <v>120</v>
      </c>
      <c r="B74" s="75" t="s">
        <v>56</v>
      </c>
      <c r="C74" s="76">
        <f>VLOOKUP(B74,Ingredients!$B$3:$C$44,2,FALSE)</f>
        <v>5</v>
      </c>
      <c r="D74" s="75" t="s">
        <v>52</v>
      </c>
      <c r="E74" s="77">
        <f>VLOOKUP(D74,Ingredients!$B$3:$C$44,2,FALSE)</f>
        <v>5</v>
      </c>
      <c r="F74" s="75" t="s">
        <v>58</v>
      </c>
      <c r="G74" s="77">
        <f>VLOOKUP(F74,Ingredients!$B$3:$C$44,2,FALSE)</f>
        <v>5</v>
      </c>
      <c r="H74" s="75" t="s">
        <v>62</v>
      </c>
      <c r="I74" s="77">
        <f>VLOOKUP(H74,Ingredients!$B$3:$C$44,2,FALSE)</f>
        <v>0</v>
      </c>
      <c r="J74" s="75" t="s">
        <v>62</v>
      </c>
      <c r="K74" s="78">
        <f>VLOOKUP(J74,Ingredients!$B$3:$C$44,2,FALSE)</f>
        <v>0</v>
      </c>
      <c r="L74" s="75" t="s">
        <v>62</v>
      </c>
      <c r="M74" s="79">
        <f>VLOOKUP(L74,Ingredients!$B$3:$C$44,2,FALSE)</f>
        <v>0</v>
      </c>
      <c r="N74" s="80">
        <f t="shared" si="1"/>
        <v>15</v>
      </c>
    </row>
    <row r="75">
      <c r="A75" s="83" t="s">
        <v>121</v>
      </c>
      <c r="B75" s="84" t="s">
        <v>51</v>
      </c>
      <c r="C75" s="85">
        <f>VLOOKUP(B75,Ingredients!$B$3:$C$44,2,FALSE)</f>
        <v>10</v>
      </c>
      <c r="D75" s="84" t="s">
        <v>29</v>
      </c>
      <c r="E75" s="86">
        <f>VLOOKUP(D75,Ingredients!$B$3:$C$44,2,FALSE)</f>
        <v>8</v>
      </c>
      <c r="F75" s="84" t="s">
        <v>40</v>
      </c>
      <c r="G75" s="86">
        <f>VLOOKUP(F75,Ingredients!$B$3:$C$44,2,FALSE)</f>
        <v>5</v>
      </c>
      <c r="H75" s="84" t="s">
        <v>50</v>
      </c>
      <c r="I75" s="86">
        <f>VLOOKUP(H75,Ingredients!$B$3:$C$44,2,FALSE)</f>
        <v>5</v>
      </c>
      <c r="J75" s="84" t="s">
        <v>62</v>
      </c>
      <c r="K75" s="87">
        <f>VLOOKUP(J75,Ingredients!$B$3:$C$44,2,FALSE)</f>
        <v>0</v>
      </c>
      <c r="L75" s="84" t="s">
        <v>62</v>
      </c>
      <c r="M75" s="88">
        <f>VLOOKUP(L75,Ingredients!$B$3:$C$44,2,FALSE)</f>
        <v>0</v>
      </c>
      <c r="N75" s="89">
        <f t="shared" si="1"/>
        <v>28</v>
      </c>
    </row>
    <row r="76">
      <c r="A76" s="90" t="s">
        <v>122</v>
      </c>
      <c r="B76" s="68" t="s">
        <v>37</v>
      </c>
      <c r="C76" s="69">
        <f>VLOOKUP(B76,Ingredients!$B$3:$C$44,2,FALSE)</f>
        <v>5</v>
      </c>
      <c r="D76" s="68" t="s">
        <v>32</v>
      </c>
      <c r="E76" s="70">
        <f>VLOOKUP(D76,Ingredients!$B$3:$C$44,2,FALSE)</f>
        <v>5</v>
      </c>
      <c r="F76" s="68" t="s">
        <v>41</v>
      </c>
      <c r="G76" s="70">
        <f>VLOOKUP(F76,Ingredients!$B$3:$C$44,2,FALSE)</f>
        <v>5</v>
      </c>
      <c r="H76" s="68" t="s">
        <v>47</v>
      </c>
      <c r="I76" s="70">
        <f>VLOOKUP(H76,Ingredients!$B$3:$C$44,2,FALSE)</f>
        <v>5</v>
      </c>
      <c r="J76" s="68" t="s">
        <v>62</v>
      </c>
      <c r="K76" s="71">
        <f>VLOOKUP(J76,Ingredients!$B$3:$C$44,2,FALSE)</f>
        <v>0</v>
      </c>
      <c r="L76" s="68" t="s">
        <v>62</v>
      </c>
      <c r="M76" s="72">
        <f>VLOOKUP(L76,Ingredients!$B$3:$C$44,2,FALSE)</f>
        <v>0</v>
      </c>
      <c r="N76" s="73">
        <f t="shared" si="1"/>
        <v>20</v>
      </c>
    </row>
    <row r="77">
      <c r="A77" s="81" t="s">
        <v>18</v>
      </c>
      <c r="B77" s="75" t="s">
        <v>57</v>
      </c>
      <c r="C77" s="76">
        <f>VLOOKUP(B77,Ingredients!$B$3:$C$44,2,FALSE)</f>
        <v>5</v>
      </c>
      <c r="D77" s="75" t="s">
        <v>36</v>
      </c>
      <c r="E77" s="77">
        <f>VLOOKUP(D77,Ingredients!$B$3:$C$44,2,FALSE)</f>
        <v>5</v>
      </c>
      <c r="F77" s="75" t="s">
        <v>40</v>
      </c>
      <c r="G77" s="77">
        <f>VLOOKUP(F77,Ingredients!$B$3:$C$44,2,FALSE)</f>
        <v>5</v>
      </c>
      <c r="H77" s="75" t="s">
        <v>62</v>
      </c>
      <c r="I77" s="77">
        <f>VLOOKUP(H77,Ingredients!$B$3:$C$44,2,FALSE)</f>
        <v>0</v>
      </c>
      <c r="J77" s="75" t="s">
        <v>62</v>
      </c>
      <c r="K77" s="78">
        <f>VLOOKUP(J77,Ingredients!$B$3:$C$44,2,FALSE)</f>
        <v>0</v>
      </c>
      <c r="L77" s="75" t="s">
        <v>62</v>
      </c>
      <c r="M77" s="79">
        <f>VLOOKUP(L77,Ingredients!$B$3:$C$44,2,FALSE)</f>
        <v>0</v>
      </c>
      <c r="N77" s="80">
        <f t="shared" si="1"/>
        <v>15</v>
      </c>
    </row>
    <row r="78">
      <c r="A78" s="81" t="s">
        <v>123</v>
      </c>
      <c r="B78" s="75" t="s">
        <v>57</v>
      </c>
      <c r="C78" s="76">
        <f>VLOOKUP(B78,Ingredients!$B$3:$C$44,2,FALSE)</f>
        <v>5</v>
      </c>
      <c r="D78" s="75" t="s">
        <v>40</v>
      </c>
      <c r="E78" s="77">
        <f>VLOOKUP(D78,Ingredients!$B$3:$C$44,2,FALSE)</f>
        <v>5</v>
      </c>
      <c r="F78" s="75" t="s">
        <v>58</v>
      </c>
      <c r="G78" s="77">
        <f>VLOOKUP(F78,Ingredients!$B$3:$C$44,2,FALSE)</f>
        <v>5</v>
      </c>
      <c r="H78" s="75" t="s">
        <v>62</v>
      </c>
      <c r="I78" s="77">
        <f>VLOOKUP(H78,Ingredients!$B$3:$C$44,2,FALSE)</f>
        <v>0</v>
      </c>
      <c r="J78" s="75" t="s">
        <v>62</v>
      </c>
      <c r="K78" s="78">
        <f>VLOOKUP(J78,Ingredients!$B$3:$C$44,2,FALSE)</f>
        <v>0</v>
      </c>
      <c r="L78" s="75" t="s">
        <v>62</v>
      </c>
      <c r="M78" s="79">
        <f>VLOOKUP(L78,Ingredients!$B$3:$C$44,2,FALSE)</f>
        <v>0</v>
      </c>
      <c r="N78" s="80">
        <f t="shared" si="1"/>
        <v>15</v>
      </c>
    </row>
    <row r="79">
      <c r="A79" s="81" t="s">
        <v>19</v>
      </c>
      <c r="B79" s="75" t="s">
        <v>54</v>
      </c>
      <c r="C79" s="76">
        <f>VLOOKUP(B79,Ingredients!$B$3:$C$44,2,FALSE)</f>
        <v>8</v>
      </c>
      <c r="D79" s="75" t="s">
        <v>33</v>
      </c>
      <c r="E79" s="77">
        <f>VLOOKUP(D79,Ingredients!$B$3:$C$44,2,FALSE)</f>
        <v>5</v>
      </c>
      <c r="F79" s="75" t="s">
        <v>50</v>
      </c>
      <c r="G79" s="77">
        <f>VLOOKUP(F79,Ingredients!$B$3:$C$44,2,FALSE)</f>
        <v>5</v>
      </c>
      <c r="H79" s="75" t="s">
        <v>62</v>
      </c>
      <c r="I79" s="77">
        <f>VLOOKUP(H79,Ingredients!$B$3:$C$44,2,FALSE)</f>
        <v>0</v>
      </c>
      <c r="J79" s="75" t="s">
        <v>62</v>
      </c>
      <c r="K79" s="78">
        <f>VLOOKUP(J79,Ingredients!$B$3:$C$44,2,FALSE)</f>
        <v>0</v>
      </c>
      <c r="L79" s="75" t="s">
        <v>62</v>
      </c>
      <c r="M79" s="79">
        <f>VLOOKUP(L79,Ingredients!$B$3:$C$44,2,FALSE)</f>
        <v>0</v>
      </c>
      <c r="N79" s="80">
        <f t="shared" si="1"/>
        <v>18</v>
      </c>
    </row>
    <row r="80">
      <c r="A80" s="81" t="s">
        <v>124</v>
      </c>
      <c r="B80" s="75" t="s">
        <v>49</v>
      </c>
      <c r="C80" s="76">
        <f>VLOOKUP(B80,Ingredients!$B$3:$C$44,2,FALSE)</f>
        <v>5</v>
      </c>
      <c r="D80" s="99" t="s">
        <v>56</v>
      </c>
      <c r="E80" s="77">
        <f>VLOOKUP(D80,Ingredients!$B$3:$C$44,2,FALSE)</f>
        <v>5</v>
      </c>
      <c r="F80" s="75" t="s">
        <v>52</v>
      </c>
      <c r="G80" s="77">
        <f>VLOOKUP(F80,Ingredients!$B$3:$C$44,2,FALSE)</f>
        <v>5</v>
      </c>
      <c r="H80" s="75" t="s">
        <v>62</v>
      </c>
      <c r="I80" s="77">
        <f>VLOOKUP(H80,Ingredients!$B$3:$C$44,2,FALSE)</f>
        <v>0</v>
      </c>
      <c r="J80" s="75" t="s">
        <v>62</v>
      </c>
      <c r="K80" s="78">
        <f>VLOOKUP(J80,Ingredients!$B$3:$C$44,2,FALSE)</f>
        <v>0</v>
      </c>
      <c r="L80" s="75" t="s">
        <v>62</v>
      </c>
      <c r="M80" s="79">
        <f>VLOOKUP(L80,Ingredients!$B$3:$C$44,2,FALSE)</f>
        <v>0</v>
      </c>
      <c r="N80" s="80">
        <f t="shared" si="1"/>
        <v>15</v>
      </c>
    </row>
    <row r="81">
      <c r="A81" s="81" t="s">
        <v>125</v>
      </c>
      <c r="B81" s="75" t="s">
        <v>47</v>
      </c>
      <c r="C81" s="76">
        <f>VLOOKUP(B81,Ingredients!$B$3:$C$44,2,FALSE)</f>
        <v>5</v>
      </c>
      <c r="D81" s="99" t="s">
        <v>39</v>
      </c>
      <c r="E81" s="77">
        <f>VLOOKUP(D81,Ingredients!$B$3:$C$44,2,FALSE)</f>
        <v>5</v>
      </c>
      <c r="F81" s="75" t="s">
        <v>31</v>
      </c>
      <c r="G81" s="77">
        <f>VLOOKUP(F81,Ingredients!$B$3:$C$44,2,FALSE)</f>
        <v>5</v>
      </c>
      <c r="H81" s="75" t="s">
        <v>62</v>
      </c>
      <c r="I81" s="77">
        <f>VLOOKUP(H81,Ingredients!$B$3:$C$44,2,FALSE)</f>
        <v>0</v>
      </c>
      <c r="J81" s="75" t="s">
        <v>62</v>
      </c>
      <c r="K81" s="78">
        <f>VLOOKUP(J81,Ingredients!$B$3:$C$44,2,FALSE)</f>
        <v>0</v>
      </c>
      <c r="L81" s="75" t="s">
        <v>62</v>
      </c>
      <c r="M81" s="79">
        <f>VLOOKUP(L81,Ingredients!$B$3:$C$44,2,FALSE)</f>
        <v>0</v>
      </c>
      <c r="N81" s="80">
        <f t="shared" si="1"/>
        <v>15</v>
      </c>
    </row>
    <row r="82">
      <c r="A82" s="81" t="s">
        <v>126</v>
      </c>
      <c r="B82" s="75" t="s">
        <v>31</v>
      </c>
      <c r="C82" s="76">
        <f>VLOOKUP(B82,Ingredients!$B$3:$C$44,2,FALSE)</f>
        <v>5</v>
      </c>
      <c r="D82" s="75" t="s">
        <v>39</v>
      </c>
      <c r="E82" s="77">
        <f>VLOOKUP(D82,Ingredients!$B$3:$C$44,2,FALSE)</f>
        <v>5</v>
      </c>
      <c r="F82" s="75" t="s">
        <v>25</v>
      </c>
      <c r="G82" s="77">
        <f>VLOOKUP(F82,Ingredients!$B$3:$C$44,2,FALSE)</f>
        <v>5</v>
      </c>
      <c r="H82" s="75" t="s">
        <v>62</v>
      </c>
      <c r="I82" s="77">
        <f>VLOOKUP(H82,Ingredients!$B$3:$C$44,2,FALSE)</f>
        <v>0</v>
      </c>
      <c r="J82" s="75" t="s">
        <v>62</v>
      </c>
      <c r="K82" s="78">
        <f>VLOOKUP(J82,Ingredients!$B$3:$C$44,2,FALSE)</f>
        <v>0</v>
      </c>
      <c r="L82" s="75" t="s">
        <v>62</v>
      </c>
      <c r="M82" s="79">
        <f>VLOOKUP(L82,Ingredients!$B$3:$C$44,2,FALSE)</f>
        <v>0</v>
      </c>
      <c r="N82" s="80">
        <f t="shared" si="1"/>
        <v>15</v>
      </c>
    </row>
    <row r="83">
      <c r="A83" s="81" t="s">
        <v>127</v>
      </c>
      <c r="B83" s="75" t="s">
        <v>31</v>
      </c>
      <c r="C83" s="76">
        <f>VLOOKUP(B83,Ingredients!$B$3:$C$44,2,FALSE)</f>
        <v>5</v>
      </c>
      <c r="D83" s="75" t="s">
        <v>39</v>
      </c>
      <c r="E83" s="77">
        <f>VLOOKUP(D83,Ingredients!$B$3:$C$44,2,FALSE)</f>
        <v>5</v>
      </c>
      <c r="F83" s="75" t="s">
        <v>32</v>
      </c>
      <c r="G83" s="77">
        <f>VLOOKUP(F83,Ingredients!$B$3:$C$44,2,FALSE)</f>
        <v>5</v>
      </c>
      <c r="H83" s="75" t="s">
        <v>62</v>
      </c>
      <c r="I83" s="77">
        <f>VLOOKUP(H83,Ingredients!$B$3:$C$44,2,FALSE)</f>
        <v>0</v>
      </c>
      <c r="J83" s="75" t="s">
        <v>62</v>
      </c>
      <c r="K83" s="78">
        <f>VLOOKUP(J83,Ingredients!$B$3:$C$44,2,FALSE)</f>
        <v>0</v>
      </c>
      <c r="L83" s="75" t="s">
        <v>62</v>
      </c>
      <c r="M83" s="79">
        <f>VLOOKUP(L83,Ingredients!$B$3:$C$44,2,FALSE)</f>
        <v>0</v>
      </c>
      <c r="N83" s="80">
        <f t="shared" si="1"/>
        <v>15</v>
      </c>
    </row>
    <row r="84">
      <c r="A84" s="90" t="s">
        <v>128</v>
      </c>
      <c r="B84" s="68" t="s">
        <v>34</v>
      </c>
      <c r="C84" s="69">
        <f>VLOOKUP(B84,Ingredients!$B$3:$C$44,2,FALSE)</f>
        <v>5</v>
      </c>
      <c r="D84" s="68" t="s">
        <v>34</v>
      </c>
      <c r="E84" s="70">
        <f>VLOOKUP(D84,Ingredients!$B$3:$C$44,2,FALSE)</f>
        <v>5</v>
      </c>
      <c r="F84" s="68" t="s">
        <v>26</v>
      </c>
      <c r="G84" s="70">
        <f>VLOOKUP(F84,Ingredients!$B$3:$C$44,2,FALSE)</f>
        <v>8</v>
      </c>
      <c r="H84" s="68" t="s">
        <v>48</v>
      </c>
      <c r="I84" s="70">
        <f>VLOOKUP(H84,Ingredients!$B$3:$C$44,2,FALSE)</f>
        <v>5</v>
      </c>
      <c r="J84" s="68" t="s">
        <v>62</v>
      </c>
      <c r="K84" s="71">
        <f>VLOOKUP(J84,Ingredients!$B$3:$C$44,2,FALSE)</f>
        <v>0</v>
      </c>
      <c r="L84" s="68" t="s">
        <v>62</v>
      </c>
      <c r="M84" s="72">
        <f>VLOOKUP(L84,Ingredients!$B$3:$C$44,2,FALSE)</f>
        <v>0</v>
      </c>
      <c r="N84" s="73">
        <f t="shared" si="1"/>
        <v>23</v>
      </c>
    </row>
    <row r="85">
      <c r="A85" s="90" t="s">
        <v>129</v>
      </c>
      <c r="B85" s="68" t="s">
        <v>42</v>
      </c>
      <c r="C85" s="69">
        <f>VLOOKUP(B85,Ingredients!$B$3:$C$44,2,FALSE)</f>
        <v>6</v>
      </c>
      <c r="D85" s="100" t="s">
        <v>22</v>
      </c>
      <c r="E85" s="70">
        <f>VLOOKUP(D85,Ingredients!$B$3:$C$44,2,FALSE)</f>
        <v>10</v>
      </c>
      <c r="F85" s="68" t="s">
        <v>32</v>
      </c>
      <c r="G85" s="70">
        <f>VLOOKUP(F85,Ingredients!$B$3:$C$44,2,FALSE)</f>
        <v>5</v>
      </c>
      <c r="H85" s="68" t="s">
        <v>62</v>
      </c>
      <c r="I85" s="70">
        <f>VLOOKUP(H85,Ingredients!$B$3:$C$44,2,FALSE)</f>
        <v>0</v>
      </c>
      <c r="J85" s="68" t="s">
        <v>62</v>
      </c>
      <c r="K85" s="71">
        <f>VLOOKUP(J85,Ingredients!$B$3:$C$44,2,FALSE)</f>
        <v>0</v>
      </c>
      <c r="L85" s="68" t="s">
        <v>62</v>
      </c>
      <c r="M85" s="72">
        <f>VLOOKUP(L85,Ingredients!$B$3:$C$44,2,FALSE)</f>
        <v>0</v>
      </c>
      <c r="N85" s="73">
        <f t="shared" si="1"/>
        <v>21</v>
      </c>
    </row>
    <row r="86">
      <c r="A86" s="101"/>
      <c r="B86" s="102" t="s">
        <v>62</v>
      </c>
      <c r="C86" s="103">
        <f>VLOOKUP(B86,Ingredients!$B$3:$C$44,2,FALSE)</f>
        <v>0</v>
      </c>
      <c r="D86" s="102" t="s">
        <v>62</v>
      </c>
      <c r="E86" s="104">
        <f>VLOOKUP(D86,Ingredients!$B$3:$C$44,2,FALSE)</f>
        <v>0</v>
      </c>
      <c r="F86" s="102" t="s">
        <v>62</v>
      </c>
      <c r="G86" s="104">
        <f>VLOOKUP(F86,Ingredients!$B$3:$C$44,2,FALSE)</f>
        <v>0</v>
      </c>
      <c r="H86" s="102" t="s">
        <v>62</v>
      </c>
      <c r="I86" s="104">
        <f>VLOOKUP(H86,Ingredients!$B$3:$C$44,2,FALSE)</f>
        <v>0</v>
      </c>
      <c r="J86" s="102" t="s">
        <v>62</v>
      </c>
      <c r="K86" s="105">
        <f>VLOOKUP(J86,Ingredients!$B$3:$C$44,2,FALSE)</f>
        <v>0</v>
      </c>
      <c r="L86" s="102" t="s">
        <v>62</v>
      </c>
      <c r="M86" s="106">
        <f>VLOOKUP(L86,Ingredients!$B$3:$C$44,2,FALSE)</f>
        <v>0</v>
      </c>
      <c r="N86" s="107">
        <f t="shared" si="1"/>
        <v>0</v>
      </c>
    </row>
    <row r="87">
      <c r="A87" s="101"/>
      <c r="B87" s="102" t="s">
        <v>62</v>
      </c>
      <c r="C87" s="103">
        <f>VLOOKUP(B87,Ingredients!$B$3:$C$44,2,FALSE)</f>
        <v>0</v>
      </c>
      <c r="D87" s="102" t="s">
        <v>62</v>
      </c>
      <c r="E87" s="104">
        <f>VLOOKUP(D87,Ingredients!$B$3:$C$44,2,FALSE)</f>
        <v>0</v>
      </c>
      <c r="F87" s="102" t="s">
        <v>62</v>
      </c>
      <c r="G87" s="104">
        <f>VLOOKUP(F87,Ingredients!$B$3:$C$44,2,FALSE)</f>
        <v>0</v>
      </c>
      <c r="H87" s="102" t="s">
        <v>62</v>
      </c>
      <c r="I87" s="104">
        <f>VLOOKUP(H87,Ingredients!$B$3:$C$44,2,FALSE)</f>
        <v>0</v>
      </c>
      <c r="J87" s="102" t="s">
        <v>62</v>
      </c>
      <c r="K87" s="105">
        <f>VLOOKUP(J87,Ingredients!$B$3:$C$44,2,FALSE)</f>
        <v>0</v>
      </c>
      <c r="L87" s="102" t="s">
        <v>62</v>
      </c>
      <c r="M87" s="106">
        <f>VLOOKUP(L87,Ingredients!$B$3:$C$44,2,FALSE)</f>
        <v>0</v>
      </c>
      <c r="N87" s="107">
        <f t="shared" si="1"/>
        <v>0</v>
      </c>
    </row>
    <row r="88">
      <c r="A88" s="101"/>
      <c r="B88" s="102" t="s">
        <v>62</v>
      </c>
      <c r="C88" s="103">
        <f>VLOOKUP(B88,Ingredients!$B$3:$C$44,2,FALSE)</f>
        <v>0</v>
      </c>
      <c r="D88" s="102" t="s">
        <v>62</v>
      </c>
      <c r="E88" s="104">
        <f>VLOOKUP(D88,Ingredients!$B$3:$C$44,2,FALSE)</f>
        <v>0</v>
      </c>
      <c r="F88" s="102" t="s">
        <v>62</v>
      </c>
      <c r="G88" s="104">
        <f>VLOOKUP(F88,Ingredients!$B$3:$C$44,2,FALSE)</f>
        <v>0</v>
      </c>
      <c r="H88" s="102" t="s">
        <v>62</v>
      </c>
      <c r="I88" s="104">
        <f>VLOOKUP(H88,Ingredients!$B$3:$C$44,2,FALSE)</f>
        <v>0</v>
      </c>
      <c r="J88" s="102" t="s">
        <v>62</v>
      </c>
      <c r="K88" s="105">
        <f>VLOOKUP(J88,Ingredients!$B$3:$C$44,2,FALSE)</f>
        <v>0</v>
      </c>
      <c r="L88" s="102" t="s">
        <v>62</v>
      </c>
      <c r="M88" s="106">
        <f>VLOOKUP(L88,Ingredients!$B$3:$C$44,2,FALSE)</f>
        <v>0</v>
      </c>
      <c r="N88" s="107">
        <f t="shared" si="1"/>
        <v>0</v>
      </c>
    </row>
    <row r="89">
      <c r="A89" s="101"/>
      <c r="B89" s="102" t="s">
        <v>62</v>
      </c>
      <c r="C89" s="103">
        <f>VLOOKUP(B89,Ingredients!$B$3:$C$44,2,FALSE)</f>
        <v>0</v>
      </c>
      <c r="D89" s="102" t="s">
        <v>62</v>
      </c>
      <c r="E89" s="104">
        <f>VLOOKUP(D89,Ingredients!$B$3:$C$44,2,FALSE)</f>
        <v>0</v>
      </c>
      <c r="F89" s="102" t="s">
        <v>62</v>
      </c>
      <c r="G89" s="104">
        <f>VLOOKUP(F89,Ingredients!$B$3:$C$44,2,FALSE)</f>
        <v>0</v>
      </c>
      <c r="H89" s="102" t="s">
        <v>62</v>
      </c>
      <c r="I89" s="104">
        <f>VLOOKUP(H89,Ingredients!$B$3:$C$44,2,FALSE)</f>
        <v>0</v>
      </c>
      <c r="J89" s="102" t="s">
        <v>62</v>
      </c>
      <c r="K89" s="105">
        <f>VLOOKUP(J89,Ingredients!$B$3:$C$44,2,FALSE)</f>
        <v>0</v>
      </c>
      <c r="L89" s="102" t="s">
        <v>62</v>
      </c>
      <c r="M89" s="106">
        <f>VLOOKUP(L89,Ingredients!$B$3:$C$44,2,FALSE)</f>
        <v>0</v>
      </c>
      <c r="N89" s="107">
        <f t="shared" si="1"/>
        <v>0</v>
      </c>
    </row>
    <row r="90">
      <c r="A90" s="101"/>
      <c r="B90" s="102" t="s">
        <v>62</v>
      </c>
      <c r="C90" s="103">
        <f>VLOOKUP(B90,Ingredients!$B$3:$C$44,2,FALSE)</f>
        <v>0</v>
      </c>
      <c r="D90" s="102" t="s">
        <v>62</v>
      </c>
      <c r="E90" s="104">
        <f>VLOOKUP(D90,Ingredients!$B$3:$C$44,2,FALSE)</f>
        <v>0</v>
      </c>
      <c r="F90" s="102" t="s">
        <v>62</v>
      </c>
      <c r="G90" s="104">
        <f>VLOOKUP(F90,Ingredients!$B$3:$C$44,2,FALSE)</f>
        <v>0</v>
      </c>
      <c r="H90" s="102" t="s">
        <v>62</v>
      </c>
      <c r="I90" s="104">
        <f>VLOOKUP(H90,Ingredients!$B$3:$C$44,2,FALSE)</f>
        <v>0</v>
      </c>
      <c r="J90" s="102" t="s">
        <v>62</v>
      </c>
      <c r="K90" s="105">
        <f>VLOOKUP(J90,Ingredients!$B$3:$C$44,2,FALSE)</f>
        <v>0</v>
      </c>
      <c r="L90" s="102" t="s">
        <v>62</v>
      </c>
      <c r="M90" s="106">
        <f>VLOOKUP(L90,Ingredients!$B$3:$C$44,2,FALSE)</f>
        <v>0</v>
      </c>
      <c r="N90" s="107">
        <f t="shared" si="1"/>
        <v>0</v>
      </c>
    </row>
    <row r="91">
      <c r="A91" s="101"/>
      <c r="B91" s="102" t="s">
        <v>62</v>
      </c>
      <c r="C91" s="103">
        <f>VLOOKUP(B91,Ingredients!$B$3:$C$44,2,FALSE)</f>
        <v>0</v>
      </c>
      <c r="D91" s="102" t="s">
        <v>62</v>
      </c>
      <c r="E91" s="104">
        <f>VLOOKUP(D91,Ingredients!$B$3:$C$44,2,FALSE)</f>
        <v>0</v>
      </c>
      <c r="F91" s="102" t="s">
        <v>62</v>
      </c>
      <c r="G91" s="104">
        <f>VLOOKUP(F91,Ingredients!$B$3:$C$44,2,FALSE)</f>
        <v>0</v>
      </c>
      <c r="H91" s="102" t="s">
        <v>62</v>
      </c>
      <c r="I91" s="104">
        <f>VLOOKUP(H91,Ingredients!$B$3:$C$44,2,FALSE)</f>
        <v>0</v>
      </c>
      <c r="J91" s="102" t="s">
        <v>62</v>
      </c>
      <c r="K91" s="105">
        <f>VLOOKUP(J91,Ingredients!$B$3:$C$44,2,FALSE)</f>
        <v>0</v>
      </c>
      <c r="L91" s="102" t="s">
        <v>62</v>
      </c>
      <c r="M91" s="106">
        <f>VLOOKUP(L91,Ingredients!$B$3:$C$44,2,FALSE)</f>
        <v>0</v>
      </c>
      <c r="N91" s="107">
        <f t="shared" si="1"/>
        <v>0</v>
      </c>
    </row>
    <row r="92">
      <c r="A92" s="101"/>
      <c r="B92" s="102" t="s">
        <v>62</v>
      </c>
      <c r="C92" s="103">
        <f>VLOOKUP(B92,Ingredients!$B$3:$C$44,2,FALSE)</f>
        <v>0</v>
      </c>
      <c r="D92" s="102" t="s">
        <v>62</v>
      </c>
      <c r="E92" s="104">
        <f>VLOOKUP(D92,Ingredients!$B$3:$C$44,2,FALSE)</f>
        <v>0</v>
      </c>
      <c r="F92" s="102" t="s">
        <v>62</v>
      </c>
      <c r="G92" s="104">
        <f>VLOOKUP(F92,Ingredients!$B$3:$C$44,2,FALSE)</f>
        <v>0</v>
      </c>
      <c r="H92" s="102" t="s">
        <v>62</v>
      </c>
      <c r="I92" s="104">
        <f>VLOOKUP(H92,Ingredients!$B$3:$C$44,2,FALSE)</f>
        <v>0</v>
      </c>
      <c r="J92" s="102" t="s">
        <v>62</v>
      </c>
      <c r="K92" s="105">
        <f>VLOOKUP(J92,Ingredients!$B$3:$C$44,2,FALSE)</f>
        <v>0</v>
      </c>
      <c r="L92" s="102" t="s">
        <v>62</v>
      </c>
      <c r="M92" s="106">
        <f>VLOOKUP(L92,Ingredients!$B$3:$C$44,2,FALSE)</f>
        <v>0</v>
      </c>
      <c r="N92" s="107">
        <f t="shared" si="1"/>
        <v>0</v>
      </c>
    </row>
    <row r="93">
      <c r="A93" s="101"/>
      <c r="B93" s="102" t="s">
        <v>62</v>
      </c>
      <c r="C93" s="103">
        <f>VLOOKUP(B93,Ingredients!$B$3:$C$44,2,FALSE)</f>
        <v>0</v>
      </c>
      <c r="D93" s="102" t="s">
        <v>62</v>
      </c>
      <c r="E93" s="104">
        <f>VLOOKUP(D93,Ingredients!$B$3:$C$44,2,FALSE)</f>
        <v>0</v>
      </c>
      <c r="F93" s="102" t="s">
        <v>62</v>
      </c>
      <c r="G93" s="104">
        <f>VLOOKUP(F93,Ingredients!$B$3:$C$44,2,FALSE)</f>
        <v>0</v>
      </c>
      <c r="H93" s="102" t="s">
        <v>62</v>
      </c>
      <c r="I93" s="104">
        <f>VLOOKUP(H93,Ingredients!$B$3:$C$44,2,FALSE)</f>
        <v>0</v>
      </c>
      <c r="J93" s="102" t="s">
        <v>62</v>
      </c>
      <c r="K93" s="105">
        <f>VLOOKUP(J93,Ingredients!$B$3:$C$44,2,FALSE)</f>
        <v>0</v>
      </c>
      <c r="L93" s="102" t="s">
        <v>62</v>
      </c>
      <c r="M93" s="106">
        <f>VLOOKUP(L93,Ingredients!$B$3:$C$44,2,FALSE)</f>
        <v>0</v>
      </c>
      <c r="N93" s="107">
        <f t="shared" si="1"/>
        <v>0</v>
      </c>
    </row>
    <row r="94">
      <c r="A94" s="101"/>
      <c r="B94" s="102" t="s">
        <v>62</v>
      </c>
      <c r="C94" s="103">
        <f>VLOOKUP(B94,Ingredients!$B$3:$C$44,2,FALSE)</f>
        <v>0</v>
      </c>
      <c r="D94" s="102" t="s">
        <v>62</v>
      </c>
      <c r="E94" s="104">
        <f>VLOOKUP(D94,Ingredients!$B$3:$C$44,2,FALSE)</f>
        <v>0</v>
      </c>
      <c r="F94" s="102" t="s">
        <v>62</v>
      </c>
      <c r="G94" s="104">
        <f>VLOOKUP(F94,Ingredients!$B$3:$C$44,2,FALSE)</f>
        <v>0</v>
      </c>
      <c r="H94" s="102" t="s">
        <v>62</v>
      </c>
      <c r="I94" s="104">
        <f>VLOOKUP(H94,Ingredients!$B$3:$C$44,2,FALSE)</f>
        <v>0</v>
      </c>
      <c r="J94" s="102" t="s">
        <v>62</v>
      </c>
      <c r="K94" s="105">
        <f>VLOOKUP(J94,Ingredients!$B$3:$C$44,2,FALSE)</f>
        <v>0</v>
      </c>
      <c r="L94" s="102" t="s">
        <v>62</v>
      </c>
      <c r="M94" s="106">
        <f>VLOOKUP(L94,Ingredients!$B$3:$C$44,2,FALSE)</f>
        <v>0</v>
      </c>
      <c r="N94" s="107">
        <f t="shared" si="1"/>
        <v>0</v>
      </c>
    </row>
    <row r="95">
      <c r="A95" s="101"/>
      <c r="B95" s="102" t="s">
        <v>62</v>
      </c>
      <c r="C95" s="103">
        <f>VLOOKUP(B95,Ingredients!$B$3:$C$44,2,FALSE)</f>
        <v>0</v>
      </c>
      <c r="D95" s="102" t="s">
        <v>62</v>
      </c>
      <c r="E95" s="104">
        <f>VLOOKUP(D95,Ingredients!$B$3:$C$44,2,FALSE)</f>
        <v>0</v>
      </c>
      <c r="F95" s="102" t="s">
        <v>62</v>
      </c>
      <c r="G95" s="104">
        <f>VLOOKUP(F95,Ingredients!$B$3:$C$44,2,FALSE)</f>
        <v>0</v>
      </c>
      <c r="H95" s="102" t="s">
        <v>62</v>
      </c>
      <c r="I95" s="104">
        <f>VLOOKUP(H95,Ingredients!$B$3:$C$44,2,FALSE)</f>
        <v>0</v>
      </c>
      <c r="J95" s="102" t="s">
        <v>62</v>
      </c>
      <c r="K95" s="105">
        <f>VLOOKUP(J95,Ingredients!$B$3:$C$44,2,FALSE)</f>
        <v>0</v>
      </c>
      <c r="L95" s="102" t="s">
        <v>62</v>
      </c>
      <c r="M95" s="106">
        <f>VLOOKUP(L95,Ingredients!$B$3:$C$44,2,FALSE)</f>
        <v>0</v>
      </c>
      <c r="N95" s="107">
        <f t="shared" si="1"/>
        <v>0</v>
      </c>
    </row>
    <row r="96">
      <c r="A96" s="101"/>
      <c r="B96" s="102" t="s">
        <v>62</v>
      </c>
      <c r="C96" s="103">
        <f>VLOOKUP(B96,Ingredients!$B$3:$C$44,2,FALSE)</f>
        <v>0</v>
      </c>
      <c r="D96" s="102" t="s">
        <v>62</v>
      </c>
      <c r="E96" s="104">
        <f>VLOOKUP(D96,Ingredients!$B$3:$C$44,2,FALSE)</f>
        <v>0</v>
      </c>
      <c r="F96" s="102" t="s">
        <v>62</v>
      </c>
      <c r="G96" s="104">
        <f>VLOOKUP(F96,Ingredients!$B$3:$C$44,2,FALSE)</f>
        <v>0</v>
      </c>
      <c r="H96" s="102" t="s">
        <v>62</v>
      </c>
      <c r="I96" s="104">
        <f>VLOOKUP(H96,Ingredients!$B$3:$C$44,2,FALSE)</f>
        <v>0</v>
      </c>
      <c r="J96" s="102" t="s">
        <v>62</v>
      </c>
      <c r="K96" s="105">
        <f>VLOOKUP(J96,Ingredients!$B$3:$C$44,2,FALSE)</f>
        <v>0</v>
      </c>
      <c r="L96" s="102" t="s">
        <v>62</v>
      </c>
      <c r="M96" s="106">
        <f>VLOOKUP(L96,Ingredients!$B$3:$C$44,2,FALSE)</f>
        <v>0</v>
      </c>
      <c r="N96" s="107">
        <f t="shared" si="1"/>
        <v>0</v>
      </c>
    </row>
    <row r="97">
      <c r="A97" s="101"/>
      <c r="B97" s="102" t="s">
        <v>62</v>
      </c>
      <c r="C97" s="103">
        <f>VLOOKUP(B97,Ingredients!$B$3:$C$44,2,FALSE)</f>
        <v>0</v>
      </c>
      <c r="D97" s="102" t="s">
        <v>62</v>
      </c>
      <c r="E97" s="104">
        <f>VLOOKUP(D97,Ingredients!$B$3:$C$44,2,FALSE)</f>
        <v>0</v>
      </c>
      <c r="F97" s="102" t="s">
        <v>62</v>
      </c>
      <c r="G97" s="104">
        <f>VLOOKUP(F97,Ingredients!$B$3:$C$44,2,FALSE)</f>
        <v>0</v>
      </c>
      <c r="H97" s="102" t="s">
        <v>62</v>
      </c>
      <c r="I97" s="104">
        <f>VLOOKUP(H97,Ingredients!$B$3:$C$44,2,FALSE)</f>
        <v>0</v>
      </c>
      <c r="J97" s="102" t="s">
        <v>62</v>
      </c>
      <c r="K97" s="105">
        <f>VLOOKUP(J97,Ingredients!$B$3:$C$44,2,FALSE)</f>
        <v>0</v>
      </c>
      <c r="L97" s="102" t="s">
        <v>62</v>
      </c>
      <c r="M97" s="106">
        <f>VLOOKUP(L97,Ingredients!$B$3:$C$44,2,FALSE)</f>
        <v>0</v>
      </c>
      <c r="N97" s="107">
        <f t="shared" si="1"/>
        <v>0</v>
      </c>
    </row>
    <row r="98">
      <c r="A98" s="101"/>
      <c r="B98" s="102" t="s">
        <v>62</v>
      </c>
      <c r="C98" s="103">
        <f>VLOOKUP(B98,Ingredients!$B$3:$C$44,2,FALSE)</f>
        <v>0</v>
      </c>
      <c r="D98" s="102" t="s">
        <v>62</v>
      </c>
      <c r="E98" s="104">
        <f>VLOOKUP(D98,Ingredients!$B$3:$C$44,2,FALSE)</f>
        <v>0</v>
      </c>
      <c r="F98" s="102" t="s">
        <v>62</v>
      </c>
      <c r="G98" s="104">
        <f>VLOOKUP(F98,Ingredients!$B$3:$C$44,2,FALSE)</f>
        <v>0</v>
      </c>
      <c r="H98" s="102" t="s">
        <v>62</v>
      </c>
      <c r="I98" s="104">
        <f>VLOOKUP(H98,Ingredients!$B$3:$C$44,2,FALSE)</f>
        <v>0</v>
      </c>
      <c r="J98" s="102" t="s">
        <v>62</v>
      </c>
      <c r="K98" s="105">
        <f>VLOOKUP(J98,Ingredients!$B$3:$C$44,2,FALSE)</f>
        <v>0</v>
      </c>
      <c r="L98" s="102" t="s">
        <v>62</v>
      </c>
      <c r="M98" s="106">
        <f>VLOOKUP(L98,Ingredients!$B$3:$C$44,2,FALSE)</f>
        <v>0</v>
      </c>
      <c r="N98" s="107">
        <f t="shared" si="1"/>
        <v>0</v>
      </c>
    </row>
    <row r="99">
      <c r="A99" s="101"/>
      <c r="B99" s="102" t="s">
        <v>62</v>
      </c>
      <c r="C99" s="103">
        <f>VLOOKUP(B99,Ingredients!$B$3:$C$44,2,FALSE)</f>
        <v>0</v>
      </c>
      <c r="D99" s="102" t="s">
        <v>62</v>
      </c>
      <c r="E99" s="104">
        <f>VLOOKUP(D99,Ingredients!$B$3:$C$44,2,FALSE)</f>
        <v>0</v>
      </c>
      <c r="F99" s="102" t="s">
        <v>62</v>
      </c>
      <c r="G99" s="104">
        <f>VLOOKUP(F99,Ingredients!$B$3:$C$44,2,FALSE)</f>
        <v>0</v>
      </c>
      <c r="H99" s="102" t="s">
        <v>62</v>
      </c>
      <c r="I99" s="104">
        <f>VLOOKUP(H99,Ingredients!$B$3:$C$44,2,FALSE)</f>
        <v>0</v>
      </c>
      <c r="J99" s="102" t="s">
        <v>62</v>
      </c>
      <c r="K99" s="105">
        <f>VLOOKUP(J99,Ingredients!$B$3:$C$44,2,FALSE)</f>
        <v>0</v>
      </c>
      <c r="L99" s="102" t="s">
        <v>62</v>
      </c>
      <c r="M99" s="106">
        <f>VLOOKUP(L99,Ingredients!$B$3:$C$44,2,FALSE)</f>
        <v>0</v>
      </c>
      <c r="N99" s="107">
        <f t="shared" si="1"/>
        <v>0</v>
      </c>
    </row>
    <row r="100">
      <c r="A100" s="101"/>
      <c r="B100" s="102" t="s">
        <v>62</v>
      </c>
      <c r="C100" s="103">
        <f>VLOOKUP(B100,Ingredients!$B$3:$C$44,2,FALSE)</f>
        <v>0</v>
      </c>
      <c r="D100" s="102" t="s">
        <v>62</v>
      </c>
      <c r="E100" s="104">
        <f>VLOOKUP(D100,Ingredients!$B$3:$C$44,2,FALSE)</f>
        <v>0</v>
      </c>
      <c r="F100" s="102" t="s">
        <v>62</v>
      </c>
      <c r="G100" s="104">
        <f>VLOOKUP(F100,Ingredients!$B$3:$C$44,2,FALSE)</f>
        <v>0</v>
      </c>
      <c r="H100" s="102" t="s">
        <v>62</v>
      </c>
      <c r="I100" s="104">
        <f>VLOOKUP(H100,Ingredients!$B$3:$C$44,2,FALSE)</f>
        <v>0</v>
      </c>
      <c r="J100" s="102" t="s">
        <v>62</v>
      </c>
      <c r="K100" s="105">
        <f>VLOOKUP(J100,Ingredients!$B$3:$C$44,2,FALSE)</f>
        <v>0</v>
      </c>
      <c r="L100" s="102" t="s">
        <v>62</v>
      </c>
      <c r="M100" s="106">
        <f>VLOOKUP(L100,Ingredients!$B$3:$C$44,2,FALSE)</f>
        <v>0</v>
      </c>
      <c r="N100" s="107">
        <f t="shared" si="1"/>
        <v>0</v>
      </c>
    </row>
    <row r="101">
      <c r="A101" s="101"/>
      <c r="B101" s="102" t="s">
        <v>62</v>
      </c>
      <c r="C101" s="103">
        <f>VLOOKUP(B101,Ingredients!$B$3:$C$44,2,FALSE)</f>
        <v>0</v>
      </c>
      <c r="D101" s="102" t="s">
        <v>62</v>
      </c>
      <c r="E101" s="104">
        <f>VLOOKUP(D101,Ingredients!$B$3:$C$44,2,FALSE)</f>
        <v>0</v>
      </c>
      <c r="F101" s="102" t="s">
        <v>62</v>
      </c>
      <c r="G101" s="104">
        <f>VLOOKUP(F101,Ingredients!$B$3:$C$44,2,FALSE)</f>
        <v>0</v>
      </c>
      <c r="H101" s="102" t="s">
        <v>62</v>
      </c>
      <c r="I101" s="104">
        <f>VLOOKUP(H101,Ingredients!$B$3:$C$44,2,FALSE)</f>
        <v>0</v>
      </c>
      <c r="J101" s="102" t="s">
        <v>62</v>
      </c>
      <c r="K101" s="105">
        <f>VLOOKUP(J101,Ingredients!$B$3:$C$44,2,FALSE)</f>
        <v>0</v>
      </c>
      <c r="L101" s="102" t="s">
        <v>62</v>
      </c>
      <c r="M101" s="106">
        <f>VLOOKUP(L101,Ingredients!$B$3:$C$44,2,FALSE)</f>
        <v>0</v>
      </c>
      <c r="N101" s="107">
        <f t="shared" si="1"/>
        <v>0</v>
      </c>
    </row>
    <row r="102">
      <c r="A102" s="101"/>
      <c r="B102" s="102" t="s">
        <v>62</v>
      </c>
      <c r="C102" s="103">
        <f>VLOOKUP(B102,Ingredients!$B$3:$C$44,2,FALSE)</f>
        <v>0</v>
      </c>
      <c r="D102" s="102" t="s">
        <v>62</v>
      </c>
      <c r="E102" s="104">
        <f>VLOOKUP(D102,Ingredients!$B$3:$C$44,2,FALSE)</f>
        <v>0</v>
      </c>
      <c r="F102" s="102" t="s">
        <v>62</v>
      </c>
      <c r="G102" s="104">
        <f>VLOOKUP(F102,Ingredients!$B$3:$C$44,2,FALSE)</f>
        <v>0</v>
      </c>
      <c r="H102" s="102" t="s">
        <v>62</v>
      </c>
      <c r="I102" s="104">
        <f>VLOOKUP(H102,Ingredients!$B$3:$C$44,2,FALSE)</f>
        <v>0</v>
      </c>
      <c r="J102" s="102" t="s">
        <v>62</v>
      </c>
      <c r="K102" s="105">
        <f>VLOOKUP(J102,Ingredients!$B$3:$C$44,2,FALSE)</f>
        <v>0</v>
      </c>
      <c r="L102" s="102" t="s">
        <v>62</v>
      </c>
      <c r="M102" s="106">
        <f>VLOOKUP(L102,Ingredients!$B$3:$C$44,2,FALSE)</f>
        <v>0</v>
      </c>
      <c r="N102" s="107">
        <f t="shared" si="1"/>
        <v>0</v>
      </c>
    </row>
    <row r="103">
      <c r="A103" s="101"/>
      <c r="B103" s="102" t="s">
        <v>62</v>
      </c>
      <c r="C103" s="103">
        <f>VLOOKUP(B103,Ingredients!$B$3:$C$44,2,FALSE)</f>
        <v>0</v>
      </c>
      <c r="D103" s="102" t="s">
        <v>62</v>
      </c>
      <c r="E103" s="104">
        <f>VLOOKUP(D103,Ingredients!$B$3:$C$44,2,FALSE)</f>
        <v>0</v>
      </c>
      <c r="F103" s="102" t="s">
        <v>62</v>
      </c>
      <c r="G103" s="104">
        <f>VLOOKUP(F103,Ingredients!$B$3:$C$44,2,FALSE)</f>
        <v>0</v>
      </c>
      <c r="H103" s="102" t="s">
        <v>62</v>
      </c>
      <c r="I103" s="104">
        <f>VLOOKUP(H103,Ingredients!$B$3:$C$44,2,FALSE)</f>
        <v>0</v>
      </c>
      <c r="J103" s="102" t="s">
        <v>62</v>
      </c>
      <c r="K103" s="105">
        <f>VLOOKUP(J103,Ingredients!$B$3:$C$44,2,FALSE)</f>
        <v>0</v>
      </c>
      <c r="L103" s="102" t="s">
        <v>62</v>
      </c>
      <c r="M103" s="106">
        <f>VLOOKUP(L103,Ingredients!$B$3:$C$44,2,FALSE)</f>
        <v>0</v>
      </c>
      <c r="N103" s="107">
        <f t="shared" si="1"/>
        <v>0</v>
      </c>
    </row>
    <row r="104">
      <c r="A104" s="101"/>
      <c r="B104" s="102" t="s">
        <v>62</v>
      </c>
      <c r="C104" s="103">
        <f>VLOOKUP(B104,Ingredients!$B$3:$C$44,2,FALSE)</f>
        <v>0</v>
      </c>
      <c r="D104" s="102" t="s">
        <v>62</v>
      </c>
      <c r="E104" s="104">
        <f>VLOOKUP(D104,Ingredients!$B$3:$C$44,2,FALSE)</f>
        <v>0</v>
      </c>
      <c r="F104" s="102" t="s">
        <v>62</v>
      </c>
      <c r="G104" s="104">
        <f>VLOOKUP(F104,Ingredients!$B$3:$C$44,2,FALSE)</f>
        <v>0</v>
      </c>
      <c r="H104" s="102" t="s">
        <v>62</v>
      </c>
      <c r="I104" s="104">
        <f>VLOOKUP(H104,Ingredients!$B$3:$C$44,2,FALSE)</f>
        <v>0</v>
      </c>
      <c r="J104" s="102" t="s">
        <v>62</v>
      </c>
      <c r="K104" s="105">
        <f>VLOOKUP(J104,Ingredients!$B$3:$C$44,2,FALSE)</f>
        <v>0</v>
      </c>
      <c r="L104" s="102" t="s">
        <v>62</v>
      </c>
      <c r="M104" s="106">
        <f>VLOOKUP(L104,Ingredients!$B$3:$C$44,2,FALSE)</f>
        <v>0</v>
      </c>
      <c r="N104" s="107">
        <f t="shared" si="1"/>
        <v>0</v>
      </c>
    </row>
    <row r="105">
      <c r="A105" s="101"/>
      <c r="B105" s="102" t="s">
        <v>62</v>
      </c>
      <c r="C105" s="103">
        <f>VLOOKUP(B105,Ingredients!$B$3:$C$44,2,FALSE)</f>
        <v>0</v>
      </c>
      <c r="D105" s="102" t="s">
        <v>62</v>
      </c>
      <c r="E105" s="104">
        <f>VLOOKUP(D105,Ingredients!$B$3:$C$44,2,FALSE)</f>
        <v>0</v>
      </c>
      <c r="F105" s="102" t="s">
        <v>62</v>
      </c>
      <c r="G105" s="104">
        <f>VLOOKUP(F105,Ingredients!$B$3:$C$44,2,FALSE)</f>
        <v>0</v>
      </c>
      <c r="H105" s="102" t="s">
        <v>62</v>
      </c>
      <c r="I105" s="104">
        <f>VLOOKUP(H105,Ingredients!$B$3:$C$44,2,FALSE)</f>
        <v>0</v>
      </c>
      <c r="J105" s="102" t="s">
        <v>62</v>
      </c>
      <c r="K105" s="105">
        <f>VLOOKUP(J105,Ingredients!$B$3:$C$44,2,FALSE)</f>
        <v>0</v>
      </c>
      <c r="L105" s="102" t="s">
        <v>62</v>
      </c>
      <c r="M105" s="106">
        <f>VLOOKUP(L105,Ingredients!$B$3:$C$44,2,FALSE)</f>
        <v>0</v>
      </c>
      <c r="N105" s="107">
        <f t="shared" si="1"/>
        <v>0</v>
      </c>
    </row>
    <row r="106">
      <c r="A106" s="101"/>
      <c r="B106" s="102" t="s">
        <v>62</v>
      </c>
      <c r="C106" s="103">
        <f>VLOOKUP(B106,Ingredients!$B$3:$C$44,2,FALSE)</f>
        <v>0</v>
      </c>
      <c r="D106" s="102" t="s">
        <v>62</v>
      </c>
      <c r="E106" s="104">
        <f>VLOOKUP(D106,Ingredients!$B$3:$C$44,2,FALSE)</f>
        <v>0</v>
      </c>
      <c r="F106" s="102" t="s">
        <v>62</v>
      </c>
      <c r="G106" s="104">
        <f>VLOOKUP(F106,Ingredients!$B$3:$C$44,2,FALSE)</f>
        <v>0</v>
      </c>
      <c r="H106" s="102" t="s">
        <v>62</v>
      </c>
      <c r="I106" s="104">
        <f>VLOOKUP(H106,Ingredients!$B$3:$C$44,2,FALSE)</f>
        <v>0</v>
      </c>
      <c r="J106" s="102" t="s">
        <v>62</v>
      </c>
      <c r="K106" s="105">
        <f>VLOOKUP(J106,Ingredients!$B$3:$C$44,2,FALSE)</f>
        <v>0</v>
      </c>
      <c r="L106" s="102" t="s">
        <v>62</v>
      </c>
      <c r="M106" s="106">
        <f>VLOOKUP(L106,Ingredients!$B$3:$C$44,2,FALSE)</f>
        <v>0</v>
      </c>
      <c r="N106" s="107">
        <f t="shared" si="1"/>
        <v>0</v>
      </c>
    </row>
    <row r="107">
      <c r="A107" s="101"/>
      <c r="B107" s="102" t="s">
        <v>62</v>
      </c>
      <c r="C107" s="103">
        <f>VLOOKUP(B107,Ingredients!$B$3:$C$44,2,FALSE)</f>
        <v>0</v>
      </c>
      <c r="D107" s="102" t="s">
        <v>62</v>
      </c>
      <c r="E107" s="104">
        <f>VLOOKUP(D107,Ingredients!$B$3:$C$44,2,FALSE)</f>
        <v>0</v>
      </c>
      <c r="F107" s="102" t="s">
        <v>62</v>
      </c>
      <c r="G107" s="104">
        <f>VLOOKUP(F107,Ingredients!$B$3:$C$44,2,FALSE)</f>
        <v>0</v>
      </c>
      <c r="H107" s="102" t="s">
        <v>62</v>
      </c>
      <c r="I107" s="104">
        <f>VLOOKUP(H107,Ingredients!$B$3:$C$44,2,FALSE)</f>
        <v>0</v>
      </c>
      <c r="J107" s="102" t="s">
        <v>62</v>
      </c>
      <c r="K107" s="105">
        <f>VLOOKUP(J107,Ingredients!$B$3:$C$44,2,FALSE)</f>
        <v>0</v>
      </c>
      <c r="L107" s="102" t="s">
        <v>62</v>
      </c>
      <c r="M107" s="106">
        <f>VLOOKUP(L107,Ingredients!$B$3:$C$44,2,FALSE)</f>
        <v>0</v>
      </c>
      <c r="N107" s="107">
        <f t="shared" si="1"/>
        <v>0</v>
      </c>
    </row>
  </sheetData>
  <mergeCells count="2">
    <mergeCell ref="A1:N1"/>
    <mergeCell ref="A2:N10"/>
  </mergeCells>
  <dataValidations>
    <dataValidation type="list" allowBlank="1" showErrorMessage="1" sqref="B11:B107 D11:D107 F11:F107 H11:H107 J11:J107 L11:L107">
      <formula1>Rien[Ingrédient:]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22.63"/>
    <col customWidth="1" min="3" max="3" width="3.88"/>
    <col customWidth="1" min="4" max="4" width="22.63"/>
    <col customWidth="1" min="5" max="5" width="3.88"/>
    <col customWidth="1" min="6" max="6" width="22.63"/>
    <col customWidth="1" min="7" max="7" width="3.88"/>
    <col customWidth="1" min="8" max="8" width="22.63"/>
    <col customWidth="1" min="9" max="9" width="3.88"/>
    <col customWidth="1" min="10" max="10" width="21.13"/>
    <col customWidth="1" min="11" max="11" width="3.5"/>
    <col customWidth="1" min="12" max="12" width="21.38"/>
    <col customWidth="1" min="13" max="13" width="3.5"/>
    <col customWidth="1" min="14" max="14" width="18.88"/>
  </cols>
  <sheetData>
    <row r="1">
      <c r="A1" s="90" t="s">
        <v>64</v>
      </c>
      <c r="B1" s="108" t="s">
        <v>39</v>
      </c>
      <c r="C1" s="109">
        <f>VLOOKUP(B1,Ingredients!$B$3:$C$44,2,FALSE)</f>
        <v>5</v>
      </c>
      <c r="D1" s="108" t="s">
        <v>31</v>
      </c>
      <c r="E1" s="110">
        <f>VLOOKUP(D1,Ingredients!$B$3:$C$44,2,FALSE)</f>
        <v>5</v>
      </c>
      <c r="F1" s="108" t="s">
        <v>37</v>
      </c>
      <c r="G1" s="110">
        <f>VLOOKUP(F1,Ingredients!$B$3:$C$44,2,FALSE)</f>
        <v>5</v>
      </c>
      <c r="H1" s="108" t="s">
        <v>23</v>
      </c>
      <c r="I1" s="110">
        <f>VLOOKUP(H1,Ingredients!$B$3:$C$44,2,FALSE)</f>
        <v>5</v>
      </c>
      <c r="J1" s="108" t="s">
        <v>62</v>
      </c>
      <c r="K1" s="111">
        <f>VLOOKUP(J1,Ingredients!$B$3:$C$44,2,FALSE)</f>
        <v>0</v>
      </c>
      <c r="L1" s="108" t="s">
        <v>62</v>
      </c>
      <c r="M1" s="112">
        <f>VLOOKUP(L1,Ingredients!$B$3:$C$44,2,FALSE)</f>
        <v>0</v>
      </c>
      <c r="N1" s="113">
        <f t="shared" ref="N1:N74" si="1">SUM(C1+E1+G1+I1+K1+M1)</f>
        <v>20</v>
      </c>
    </row>
    <row r="2">
      <c r="A2" s="74" t="s">
        <v>65</v>
      </c>
      <c r="B2" s="75" t="s">
        <v>29</v>
      </c>
      <c r="C2" s="76">
        <f>VLOOKUP(B2,Ingredients!$B$3:$C$44,2,FALSE)</f>
        <v>8</v>
      </c>
      <c r="D2" s="75" t="s">
        <v>31</v>
      </c>
      <c r="E2" s="77">
        <f>VLOOKUP(D2,Ingredients!$B$3:$C$44,2,FALSE)</f>
        <v>5</v>
      </c>
      <c r="F2" s="75" t="s">
        <v>39</v>
      </c>
      <c r="G2" s="77">
        <f>VLOOKUP(F2,Ingredients!$B$3:$C$44,2,FALSE)</f>
        <v>5</v>
      </c>
      <c r="H2" s="75" t="s">
        <v>62</v>
      </c>
      <c r="I2" s="77">
        <f>VLOOKUP(H2,Ingredients!$B$3:$C$44,2,FALSE)</f>
        <v>0</v>
      </c>
      <c r="J2" s="75" t="s">
        <v>62</v>
      </c>
      <c r="K2" s="78">
        <f>VLOOKUP(J2,Ingredients!$B$3:$C$44,2,FALSE)</f>
        <v>0</v>
      </c>
      <c r="L2" s="75" t="s">
        <v>62</v>
      </c>
      <c r="M2" s="79">
        <f>VLOOKUP(L2,Ingredients!$B$3:$C$44,2,FALSE)</f>
        <v>0</v>
      </c>
      <c r="N2" s="80">
        <f t="shared" si="1"/>
        <v>18</v>
      </c>
    </row>
    <row r="3">
      <c r="A3" s="81" t="s">
        <v>66</v>
      </c>
      <c r="B3" s="75" t="s">
        <v>29</v>
      </c>
      <c r="C3" s="76">
        <f>VLOOKUP(B3,Ingredients!$B$3:$C$44,2,FALSE)</f>
        <v>8</v>
      </c>
      <c r="D3" s="82" t="s">
        <v>40</v>
      </c>
      <c r="E3" s="77">
        <f>VLOOKUP(D3,Ingredients!$B$3:$C$44,2,FALSE)</f>
        <v>5</v>
      </c>
      <c r="F3" s="75" t="s">
        <v>57</v>
      </c>
      <c r="G3" s="77">
        <f>VLOOKUP(F3,Ingredients!$B$3:$C$44,2,FALSE)</f>
        <v>5</v>
      </c>
      <c r="H3" s="75" t="s">
        <v>62</v>
      </c>
      <c r="I3" s="77">
        <f>VLOOKUP(H3,Ingredients!$B$3:$C$44,2,FALSE)</f>
        <v>0</v>
      </c>
      <c r="J3" s="75" t="s">
        <v>62</v>
      </c>
      <c r="K3" s="78">
        <f>VLOOKUP(J3,Ingredients!$B$3:$C$44,2,FALSE)</f>
        <v>0</v>
      </c>
      <c r="L3" s="75" t="s">
        <v>62</v>
      </c>
      <c r="M3" s="79">
        <f>VLOOKUP(L3,Ingredients!$B$3:$C$44,2,FALSE)</f>
        <v>0</v>
      </c>
      <c r="N3" s="80">
        <f t="shared" si="1"/>
        <v>18</v>
      </c>
    </row>
    <row r="4">
      <c r="A4" s="67" t="s">
        <v>12</v>
      </c>
      <c r="B4" s="68" t="s">
        <v>29</v>
      </c>
      <c r="C4" s="69">
        <f>VLOOKUP(B4,Ingredients!$B$3:$C$44,2,FALSE)</f>
        <v>8</v>
      </c>
      <c r="D4" s="68" t="s">
        <v>31</v>
      </c>
      <c r="E4" s="70">
        <f>VLOOKUP(D4,Ingredients!$B$3:$C$44,2,FALSE)</f>
        <v>5</v>
      </c>
      <c r="F4" s="68" t="s">
        <v>37</v>
      </c>
      <c r="G4" s="70">
        <f>VLOOKUP(F4,Ingredients!$B$3:$C$44,2,FALSE)</f>
        <v>5</v>
      </c>
      <c r="H4" s="68" t="s">
        <v>39</v>
      </c>
      <c r="I4" s="70">
        <f>VLOOKUP(H4,Ingredients!$B$3:$C$44,2,FALSE)</f>
        <v>5</v>
      </c>
      <c r="J4" s="68" t="s">
        <v>62</v>
      </c>
      <c r="K4" s="71">
        <f>VLOOKUP(J4,Ingredients!$B$3:$C$44,2,FALSE)</f>
        <v>0</v>
      </c>
      <c r="L4" s="68" t="s">
        <v>62</v>
      </c>
      <c r="M4" s="72">
        <f>VLOOKUP(L4,Ingredients!$B$3:$C$44,2,FALSE)</f>
        <v>0</v>
      </c>
      <c r="N4" s="73">
        <f t="shared" si="1"/>
        <v>23</v>
      </c>
    </row>
    <row r="5">
      <c r="A5" s="83" t="s">
        <v>8</v>
      </c>
      <c r="B5" s="84" t="s">
        <v>52</v>
      </c>
      <c r="C5" s="85">
        <f>VLOOKUP(B5,Ingredients!$B$3:$C$44,2,FALSE)</f>
        <v>5</v>
      </c>
      <c r="D5" s="84" t="s">
        <v>39</v>
      </c>
      <c r="E5" s="86">
        <f>VLOOKUP(D5,Ingredients!$B$3:$C$44,2,FALSE)</f>
        <v>5</v>
      </c>
      <c r="F5" s="84" t="s">
        <v>31</v>
      </c>
      <c r="G5" s="86">
        <f>VLOOKUP(F5,Ingredients!$B$3:$C$44,2,FALSE)</f>
        <v>5</v>
      </c>
      <c r="H5" s="84" t="s">
        <v>37</v>
      </c>
      <c r="I5" s="86">
        <f>VLOOKUP(H5,Ingredients!$B$3:$C$44,2,FALSE)</f>
        <v>5</v>
      </c>
      <c r="J5" s="84" t="s">
        <v>34</v>
      </c>
      <c r="K5" s="87">
        <f>VLOOKUP(J5,Ingredients!$B$3:$C$44,2,FALSE)</f>
        <v>5</v>
      </c>
      <c r="L5" s="84" t="s">
        <v>62</v>
      </c>
      <c r="M5" s="88">
        <f>VLOOKUP(L5,Ingredients!$B$3:$C$44,2,FALSE)</f>
        <v>0</v>
      </c>
      <c r="N5" s="89">
        <f t="shared" si="1"/>
        <v>25</v>
      </c>
    </row>
    <row r="6">
      <c r="A6" s="90" t="s">
        <v>67</v>
      </c>
      <c r="B6" s="68" t="s">
        <v>23</v>
      </c>
      <c r="C6" s="69">
        <f>VLOOKUP(B6,Ingredients!$B$3:$C$44,2,FALSE)</f>
        <v>5</v>
      </c>
      <c r="D6" s="68" t="s">
        <v>40</v>
      </c>
      <c r="E6" s="70">
        <f>VLOOKUP(D6,Ingredients!$B$3:$C$44,2,FALSE)</f>
        <v>5</v>
      </c>
      <c r="F6" s="68" t="s">
        <v>57</v>
      </c>
      <c r="G6" s="70">
        <f>VLOOKUP(F6,Ingredients!$B$3:$C$44,2,FALSE)</f>
        <v>5</v>
      </c>
      <c r="H6" s="68" t="s">
        <v>39</v>
      </c>
      <c r="I6" s="70">
        <f>VLOOKUP(H6,Ingredients!$B$3:$C$44,2,FALSE)</f>
        <v>5</v>
      </c>
      <c r="J6" s="68" t="s">
        <v>62</v>
      </c>
      <c r="K6" s="71">
        <f>VLOOKUP(J6,Ingredients!$B$3:$C$44,2,FALSE)</f>
        <v>0</v>
      </c>
      <c r="L6" s="68" t="s">
        <v>62</v>
      </c>
      <c r="M6" s="72">
        <f>VLOOKUP(L6,Ingredients!$B$3:$C$44,2,FALSE)</f>
        <v>0</v>
      </c>
      <c r="N6" s="73">
        <f t="shared" si="1"/>
        <v>20</v>
      </c>
    </row>
    <row r="7">
      <c r="A7" s="81" t="s">
        <v>68</v>
      </c>
      <c r="B7" s="75" t="s">
        <v>37</v>
      </c>
      <c r="C7" s="76">
        <f>VLOOKUP(B7,Ingredients!$B$3:$C$44,2,FALSE)</f>
        <v>5</v>
      </c>
      <c r="D7" s="75" t="s">
        <v>24</v>
      </c>
      <c r="E7" s="77">
        <f>VLOOKUP(D7,Ingredients!$B$3:$C$44,2,FALSE)</f>
        <v>11</v>
      </c>
      <c r="F7" s="75" t="s">
        <v>62</v>
      </c>
      <c r="G7" s="77">
        <f>VLOOKUP(F7,Ingredients!$B$3:$C$44,2,FALSE)</f>
        <v>0</v>
      </c>
      <c r="H7" s="75" t="s">
        <v>62</v>
      </c>
      <c r="I7" s="77">
        <f>VLOOKUP(H7,Ingredients!$B$3:$C$44,2,FALSE)</f>
        <v>0</v>
      </c>
      <c r="J7" s="75" t="s">
        <v>62</v>
      </c>
      <c r="K7" s="78">
        <f>VLOOKUP(J7,Ingredients!$B$3:$C$44,2,FALSE)</f>
        <v>0</v>
      </c>
      <c r="L7" s="75" t="s">
        <v>62</v>
      </c>
      <c r="M7" s="79">
        <f>VLOOKUP(L7,Ingredients!$B$3:$C$44,2,FALSE)</f>
        <v>0</v>
      </c>
      <c r="N7" s="80">
        <f t="shared" si="1"/>
        <v>16</v>
      </c>
    </row>
    <row r="8">
      <c r="A8" s="90" t="s">
        <v>69</v>
      </c>
      <c r="B8" s="68" t="s">
        <v>24</v>
      </c>
      <c r="C8" s="69">
        <f>VLOOKUP(B8,Ingredients!$B$3:$C$44,2,FALSE)</f>
        <v>11</v>
      </c>
      <c r="D8" s="68" t="s">
        <v>31</v>
      </c>
      <c r="E8" s="70">
        <f>VLOOKUP(D8,Ingredients!$B$3:$C$44,2,FALSE)</f>
        <v>5</v>
      </c>
      <c r="F8" s="68" t="s">
        <v>39</v>
      </c>
      <c r="G8" s="70">
        <f>VLOOKUP(F8,Ingredients!$B$3:$C$44,2,FALSE)</f>
        <v>5</v>
      </c>
      <c r="H8" s="68" t="s">
        <v>62</v>
      </c>
      <c r="I8" s="70">
        <f>VLOOKUP(H8,Ingredients!$B$3:$C$44,2,FALSE)</f>
        <v>0</v>
      </c>
      <c r="J8" s="68" t="s">
        <v>62</v>
      </c>
      <c r="K8" s="71">
        <f>VLOOKUP(J8,Ingredients!$B$3:$C$44,2,FALSE)</f>
        <v>0</v>
      </c>
      <c r="L8" s="68" t="s">
        <v>62</v>
      </c>
      <c r="M8" s="72">
        <f>VLOOKUP(L8,Ingredients!$B$3:$C$44,2,FALSE)</f>
        <v>0</v>
      </c>
      <c r="N8" s="73">
        <f t="shared" si="1"/>
        <v>21</v>
      </c>
    </row>
    <row r="9">
      <c r="A9" s="81" t="s">
        <v>14</v>
      </c>
      <c r="B9" s="75" t="s">
        <v>26</v>
      </c>
      <c r="C9" s="76">
        <f>VLOOKUP(B9,Ingredients!$B$3:$C$44,2,FALSE)</f>
        <v>8</v>
      </c>
      <c r="D9" s="75" t="s">
        <v>36</v>
      </c>
      <c r="E9" s="77">
        <f>VLOOKUP(D9,Ingredients!$B$3:$C$44,2,FALSE)</f>
        <v>5</v>
      </c>
      <c r="F9" s="75" t="s">
        <v>48</v>
      </c>
      <c r="G9" s="77">
        <f>VLOOKUP(F9,Ingredients!$B$3:$C$44,2,FALSE)</f>
        <v>5</v>
      </c>
      <c r="H9" s="75" t="s">
        <v>62</v>
      </c>
      <c r="I9" s="77">
        <f>VLOOKUP(H9,Ingredients!$B$3:$C$44,2,FALSE)</f>
        <v>0</v>
      </c>
      <c r="J9" s="75" t="s">
        <v>62</v>
      </c>
      <c r="K9" s="78">
        <f>VLOOKUP(J9,Ingredients!$B$3:$C$44,2,FALSE)</f>
        <v>0</v>
      </c>
      <c r="L9" s="75" t="s">
        <v>62</v>
      </c>
      <c r="M9" s="79">
        <f>VLOOKUP(L9,Ingredients!$B$3:$C$44,2,FALSE)</f>
        <v>0</v>
      </c>
      <c r="N9" s="80">
        <f t="shared" si="1"/>
        <v>18</v>
      </c>
    </row>
    <row r="10">
      <c r="A10" s="91" t="s">
        <v>70</v>
      </c>
      <c r="B10" s="92" t="s">
        <v>51</v>
      </c>
      <c r="C10" s="93">
        <f>VLOOKUP(B10,Ingredients!$B$3:$C$44,2,FALSE)</f>
        <v>10</v>
      </c>
      <c r="D10" s="92" t="s">
        <v>57</v>
      </c>
      <c r="E10" s="94">
        <f>VLOOKUP(D10,Ingredients!$B$3:$C$44,2,FALSE)</f>
        <v>5</v>
      </c>
      <c r="F10" s="92" t="s">
        <v>29</v>
      </c>
      <c r="G10" s="94">
        <f>VLOOKUP(F10,Ingredients!$B$3:$C$44,2,FALSE)</f>
        <v>8</v>
      </c>
      <c r="H10" s="92" t="s">
        <v>53</v>
      </c>
      <c r="I10" s="94">
        <f>VLOOKUP(H10,Ingredients!$B$3:$C$44,2,FALSE)</f>
        <v>10</v>
      </c>
      <c r="J10" s="92" t="s">
        <v>62</v>
      </c>
      <c r="K10" s="95">
        <f>VLOOKUP(J10,Ingredients!$B$3:$C$44,2,FALSE)</f>
        <v>0</v>
      </c>
      <c r="L10" s="92" t="s">
        <v>62</v>
      </c>
      <c r="M10" s="96">
        <f>VLOOKUP(L10,Ingredients!$B$3:$C$44,2,FALSE)</f>
        <v>0</v>
      </c>
      <c r="N10" s="97">
        <f t="shared" si="1"/>
        <v>33</v>
      </c>
    </row>
    <row r="11">
      <c r="A11" s="81" t="s">
        <v>71</v>
      </c>
      <c r="B11" s="75" t="s">
        <v>31</v>
      </c>
      <c r="C11" s="76">
        <f>VLOOKUP(B11,Ingredients!$B$3:$C$44,2,FALSE)</f>
        <v>5</v>
      </c>
      <c r="D11" s="75" t="s">
        <v>37</v>
      </c>
      <c r="E11" s="77">
        <f>VLOOKUP(D11,Ingredients!$B$3:$C$44,2,FALSE)</f>
        <v>5</v>
      </c>
      <c r="F11" s="75" t="s">
        <v>55</v>
      </c>
      <c r="G11" s="77">
        <f>VLOOKUP(F11,Ingredients!$B$3:$C$44,2,FALSE)</f>
        <v>7</v>
      </c>
      <c r="H11" s="75" t="s">
        <v>62</v>
      </c>
      <c r="I11" s="77">
        <f>VLOOKUP(H11,Ingredients!$B$3:$C$44,2,FALSE)</f>
        <v>0</v>
      </c>
      <c r="J11" s="75" t="s">
        <v>62</v>
      </c>
      <c r="K11" s="78">
        <f>VLOOKUP(J11,Ingredients!$B$3:$C$44,2,FALSE)</f>
        <v>0</v>
      </c>
      <c r="L11" s="75" t="s">
        <v>62</v>
      </c>
      <c r="M11" s="79">
        <f>VLOOKUP(L11,Ingredients!$B$3:$C$44,2,FALSE)</f>
        <v>0</v>
      </c>
      <c r="N11" s="80">
        <f t="shared" si="1"/>
        <v>17</v>
      </c>
    </row>
    <row r="12">
      <c r="A12" s="83" t="s">
        <v>72</v>
      </c>
      <c r="B12" s="84" t="s">
        <v>42</v>
      </c>
      <c r="C12" s="85">
        <f>VLOOKUP(B12,Ingredients!$B$3:$C$44,2,FALSE)</f>
        <v>6</v>
      </c>
      <c r="D12" s="84" t="s">
        <v>26</v>
      </c>
      <c r="E12" s="86">
        <f>VLOOKUP(D12,Ingredients!$B$3:$C$44,2,FALSE)</f>
        <v>8</v>
      </c>
      <c r="F12" s="84" t="s">
        <v>22</v>
      </c>
      <c r="G12" s="86">
        <f>VLOOKUP(F12,Ingredients!$B$3:$C$44,2,FALSE)</f>
        <v>10</v>
      </c>
      <c r="H12" s="84" t="s">
        <v>34</v>
      </c>
      <c r="I12" s="86">
        <f>VLOOKUP(H12,Ingredients!$B$3:$C$44,2,FALSE)</f>
        <v>5</v>
      </c>
      <c r="J12" s="84" t="s">
        <v>62</v>
      </c>
      <c r="K12" s="87">
        <f>VLOOKUP(J12,Ingredients!$B$3:$C$44,2,FALSE)</f>
        <v>0</v>
      </c>
      <c r="L12" s="84" t="s">
        <v>62</v>
      </c>
      <c r="M12" s="88">
        <f>VLOOKUP(L12,Ingredients!$B$3:$C$44,2,FALSE)</f>
        <v>0</v>
      </c>
      <c r="N12" s="89">
        <f t="shared" si="1"/>
        <v>29</v>
      </c>
    </row>
    <row r="13">
      <c r="A13" s="83" t="s">
        <v>73</v>
      </c>
      <c r="B13" s="84" t="s">
        <v>31</v>
      </c>
      <c r="C13" s="85">
        <f>VLOOKUP(B13,Ingredients!$B$3:$C$44,2,FALSE)</f>
        <v>5</v>
      </c>
      <c r="D13" s="84" t="s">
        <v>55</v>
      </c>
      <c r="E13" s="86">
        <f>VLOOKUP(D13,Ingredients!$B$3:$C$44,2,FALSE)</f>
        <v>7</v>
      </c>
      <c r="F13" s="84" t="s">
        <v>32</v>
      </c>
      <c r="G13" s="86">
        <f>VLOOKUP(F13,Ingredients!$B$3:$C$44,2,FALSE)</f>
        <v>5</v>
      </c>
      <c r="H13" s="84" t="s">
        <v>41</v>
      </c>
      <c r="I13" s="86">
        <f>VLOOKUP(H13,Ingredients!$B$3:$C$44,2,FALSE)</f>
        <v>5</v>
      </c>
      <c r="J13" s="84" t="s">
        <v>47</v>
      </c>
      <c r="K13" s="87">
        <f>VLOOKUP(J13,Ingredients!$B$3:$C$44,2,FALSE)</f>
        <v>5</v>
      </c>
      <c r="L13" s="84" t="s">
        <v>62</v>
      </c>
      <c r="M13" s="88">
        <f>VLOOKUP(L13,Ingredients!$B$3:$C$44,2,FALSE)</f>
        <v>0</v>
      </c>
      <c r="N13" s="89">
        <f t="shared" si="1"/>
        <v>27</v>
      </c>
    </row>
    <row r="14">
      <c r="A14" s="83" t="s">
        <v>74</v>
      </c>
      <c r="B14" s="84" t="s">
        <v>22</v>
      </c>
      <c r="C14" s="85">
        <f>VLOOKUP(B14,Ingredients!$B$3:$C$44,2,FALSE)</f>
        <v>10</v>
      </c>
      <c r="D14" s="84" t="s">
        <v>31</v>
      </c>
      <c r="E14" s="86">
        <f>VLOOKUP(D14,Ingredients!$B$3:$C$44,2,FALSE)</f>
        <v>5</v>
      </c>
      <c r="F14" s="84" t="s">
        <v>55</v>
      </c>
      <c r="G14" s="86">
        <f>VLOOKUP(F14,Ingredients!$B$3:$C$44,2,FALSE)</f>
        <v>7</v>
      </c>
      <c r="H14" s="84" t="s">
        <v>32</v>
      </c>
      <c r="I14" s="86">
        <f>VLOOKUP(H14,Ingredients!$B$3:$C$44,2,FALSE)</f>
        <v>5</v>
      </c>
      <c r="J14" s="84" t="s">
        <v>62</v>
      </c>
      <c r="K14" s="87">
        <f>VLOOKUP(J14,Ingredients!$B$3:$C$44,2,FALSE)</f>
        <v>0</v>
      </c>
      <c r="L14" s="84" t="s">
        <v>62</v>
      </c>
      <c r="M14" s="88">
        <f>VLOOKUP(L14,Ingredients!$B$3:$C$44,2,FALSE)</f>
        <v>0</v>
      </c>
      <c r="N14" s="89">
        <f t="shared" si="1"/>
        <v>27</v>
      </c>
    </row>
    <row r="15">
      <c r="A15" s="90" t="s">
        <v>75</v>
      </c>
      <c r="B15" s="68" t="s">
        <v>31</v>
      </c>
      <c r="C15" s="69">
        <f>VLOOKUP(B15,Ingredients!$B$3:$C$44,2,FALSE)</f>
        <v>5</v>
      </c>
      <c r="D15" s="68" t="s">
        <v>39</v>
      </c>
      <c r="E15" s="70">
        <f>VLOOKUP(D15,Ingredients!$B$3:$C$44,2,FALSE)</f>
        <v>5</v>
      </c>
      <c r="F15" s="68" t="s">
        <v>58</v>
      </c>
      <c r="G15" s="70">
        <f>VLOOKUP(F15,Ingredients!$B$3:$C$44,2,FALSE)</f>
        <v>5</v>
      </c>
      <c r="H15" s="68" t="s">
        <v>33</v>
      </c>
      <c r="I15" s="70">
        <f>VLOOKUP(H15,Ingredients!$B$3:$C$44,2,FALSE)</f>
        <v>5</v>
      </c>
      <c r="J15" s="68" t="s">
        <v>62</v>
      </c>
      <c r="K15" s="71">
        <f>VLOOKUP(J15,Ingredients!$B$3:$C$44,2,FALSE)</f>
        <v>0</v>
      </c>
      <c r="L15" s="68" t="s">
        <v>62</v>
      </c>
      <c r="M15" s="72">
        <f>VLOOKUP(L15,Ingredients!$B$3:$C$44,2,FALSE)</f>
        <v>0</v>
      </c>
      <c r="N15" s="73">
        <f t="shared" si="1"/>
        <v>20</v>
      </c>
    </row>
    <row r="16">
      <c r="A16" s="83" t="s">
        <v>76</v>
      </c>
      <c r="B16" s="84" t="s">
        <v>44</v>
      </c>
      <c r="C16" s="85">
        <f>VLOOKUP(B16,Ingredients!$B$3:$C$44,2,FALSE)</f>
        <v>15</v>
      </c>
      <c r="D16" s="84" t="s">
        <v>47</v>
      </c>
      <c r="E16" s="86">
        <f>VLOOKUP(D16,Ingredients!$B$3:$C$44,2,FALSE)</f>
        <v>5</v>
      </c>
      <c r="F16" s="84" t="s">
        <v>55</v>
      </c>
      <c r="G16" s="86">
        <f>VLOOKUP(F16,Ingredients!$B$3:$C$44,2,FALSE)</f>
        <v>7</v>
      </c>
      <c r="H16" s="84" t="s">
        <v>62</v>
      </c>
      <c r="I16" s="86">
        <f>VLOOKUP(H16,Ingredients!$B$3:$C$44,2,FALSE)</f>
        <v>0</v>
      </c>
      <c r="J16" s="84" t="s">
        <v>62</v>
      </c>
      <c r="K16" s="87">
        <f>VLOOKUP(J16,Ingredients!$B$3:$C$44,2,FALSE)</f>
        <v>0</v>
      </c>
      <c r="L16" s="84" t="s">
        <v>62</v>
      </c>
      <c r="M16" s="88">
        <f>VLOOKUP(L16,Ingredients!$B$3:$C$44,2,FALSE)</f>
        <v>0</v>
      </c>
      <c r="N16" s="89">
        <f t="shared" si="1"/>
        <v>27</v>
      </c>
    </row>
    <row r="17">
      <c r="A17" s="91" t="s">
        <v>77</v>
      </c>
      <c r="B17" s="92" t="s">
        <v>24</v>
      </c>
      <c r="C17" s="93">
        <f>VLOOKUP(B17,Ingredients!$B$3:$C$44,2,FALSE)</f>
        <v>11</v>
      </c>
      <c r="D17" s="92" t="s">
        <v>22</v>
      </c>
      <c r="E17" s="94">
        <f>VLOOKUP(D17,Ingredients!$B$3:$C$44,2,FALSE)</f>
        <v>10</v>
      </c>
      <c r="F17" s="92" t="s">
        <v>55</v>
      </c>
      <c r="G17" s="94">
        <f>VLOOKUP(F17,Ingredients!$B$3:$C$44,2,FALSE)</f>
        <v>7</v>
      </c>
      <c r="H17" s="92" t="s">
        <v>31</v>
      </c>
      <c r="I17" s="94">
        <f>VLOOKUP(H17,Ingredients!$B$3:$C$44,2,FALSE)</f>
        <v>5</v>
      </c>
      <c r="J17" s="92" t="s">
        <v>62</v>
      </c>
      <c r="K17" s="95">
        <f>VLOOKUP(J17,Ingredients!$B$3:$C$44,2,FALSE)</f>
        <v>0</v>
      </c>
      <c r="L17" s="92" t="s">
        <v>62</v>
      </c>
      <c r="M17" s="96">
        <f>VLOOKUP(L17,Ingredients!$B$3:$C$44,2,FALSE)</f>
        <v>0</v>
      </c>
      <c r="N17" s="97">
        <f t="shared" si="1"/>
        <v>33</v>
      </c>
    </row>
    <row r="18">
      <c r="A18" s="91" t="s">
        <v>130</v>
      </c>
      <c r="B18" s="92" t="s">
        <v>41</v>
      </c>
      <c r="C18" s="93">
        <f>VLOOKUP(B18,Ingredients!$B$3:$C$44,2,FALSE)</f>
        <v>5</v>
      </c>
      <c r="D18" s="92" t="s">
        <v>39</v>
      </c>
      <c r="E18" s="94">
        <f>VLOOKUP(D18,Ingredients!$B$3:$C$44,2,FALSE)</f>
        <v>5</v>
      </c>
      <c r="F18" s="92" t="s">
        <v>53</v>
      </c>
      <c r="G18" s="94">
        <f>VLOOKUP(F18,Ingredients!$B$3:$C$44,2,FALSE)</f>
        <v>10</v>
      </c>
      <c r="H18" s="92" t="s">
        <v>22</v>
      </c>
      <c r="I18" s="94">
        <f>VLOOKUP(H18,Ingredients!$B$3:$C$44,2,FALSE)</f>
        <v>10</v>
      </c>
      <c r="J18" s="92" t="s">
        <v>55</v>
      </c>
      <c r="K18" s="95">
        <f>VLOOKUP(J18,Ingredients!$B$3:$C$44,2,FALSE)</f>
        <v>7</v>
      </c>
      <c r="L18" s="92" t="s">
        <v>62</v>
      </c>
      <c r="M18" s="96">
        <f>VLOOKUP(L18,Ingredients!$B$3:$C$44,2,FALSE)</f>
        <v>0</v>
      </c>
      <c r="N18" s="97">
        <f t="shared" si="1"/>
        <v>37</v>
      </c>
    </row>
    <row r="19">
      <c r="A19" s="90" t="s">
        <v>80</v>
      </c>
      <c r="B19" s="68" t="s">
        <v>31</v>
      </c>
      <c r="C19" s="69">
        <f>VLOOKUP(B19,Ingredients!$B$3:$C$44,2,FALSE)</f>
        <v>5</v>
      </c>
      <c r="D19" s="68" t="s">
        <v>39</v>
      </c>
      <c r="E19" s="70">
        <f>VLOOKUP(D19,Ingredients!$B$3:$C$44,2,FALSE)</f>
        <v>5</v>
      </c>
      <c r="F19" s="68" t="s">
        <v>37</v>
      </c>
      <c r="G19" s="70">
        <f>VLOOKUP(F19,Ingredients!$B$3:$C$44,2,FALSE)</f>
        <v>5</v>
      </c>
      <c r="H19" s="68" t="s">
        <v>55</v>
      </c>
      <c r="I19" s="70">
        <f>VLOOKUP(H19,Ingredients!$B$3:$C$44,2,FALSE)</f>
        <v>7</v>
      </c>
      <c r="J19" s="68" t="s">
        <v>62</v>
      </c>
      <c r="K19" s="71">
        <f>VLOOKUP(J19,Ingredients!$B$3:$C$44,2,FALSE)</f>
        <v>0</v>
      </c>
      <c r="L19" s="68" t="s">
        <v>62</v>
      </c>
      <c r="M19" s="72">
        <f>VLOOKUP(L19,Ingredients!$B$3:$C$44,2,FALSE)</f>
        <v>0</v>
      </c>
      <c r="N19" s="73">
        <f t="shared" si="1"/>
        <v>22</v>
      </c>
    </row>
    <row r="20">
      <c r="A20" s="83" t="s">
        <v>81</v>
      </c>
      <c r="B20" s="84" t="s">
        <v>35</v>
      </c>
      <c r="C20" s="85">
        <f>VLOOKUP(B20,Ingredients!$B$3:$C$44,2,FALSE)</f>
        <v>22</v>
      </c>
      <c r="D20" s="84" t="s">
        <v>55</v>
      </c>
      <c r="E20" s="86">
        <f>VLOOKUP(D20,Ingredients!$B$3:$C$44,2,FALSE)</f>
        <v>7</v>
      </c>
      <c r="F20" s="84" t="s">
        <v>62</v>
      </c>
      <c r="G20" s="86">
        <f>VLOOKUP(F20,Ingredients!$B$3:$C$44,2,FALSE)</f>
        <v>0</v>
      </c>
      <c r="H20" s="84" t="s">
        <v>62</v>
      </c>
      <c r="I20" s="86">
        <f>VLOOKUP(H20,Ingredients!$B$3:$C$44,2,FALSE)</f>
        <v>0</v>
      </c>
      <c r="J20" s="84" t="s">
        <v>62</v>
      </c>
      <c r="K20" s="87">
        <f>VLOOKUP(J20,Ingredients!$B$3:$C$44,2,FALSE)</f>
        <v>0</v>
      </c>
      <c r="L20" s="84" t="s">
        <v>62</v>
      </c>
      <c r="M20" s="88">
        <f>VLOOKUP(L20,Ingredients!$B$3:$C$44,2,FALSE)</f>
        <v>0</v>
      </c>
      <c r="N20" s="89">
        <f t="shared" si="1"/>
        <v>29</v>
      </c>
    </row>
    <row r="21">
      <c r="A21" s="81" t="s">
        <v>16</v>
      </c>
      <c r="B21" s="75" t="s">
        <v>48</v>
      </c>
      <c r="C21" s="76">
        <f>VLOOKUP(B21,Ingredients!$B$3:$C$44,2,FALSE)</f>
        <v>5</v>
      </c>
      <c r="D21" s="75" t="s">
        <v>37</v>
      </c>
      <c r="E21" s="77">
        <f>VLOOKUP(D21,Ingredients!$B$3:$C$44,2,FALSE)</f>
        <v>5</v>
      </c>
      <c r="F21" s="75" t="s">
        <v>54</v>
      </c>
      <c r="G21" s="77">
        <f>VLOOKUP(F21,Ingredients!$B$3:$C$44,2,FALSE)</f>
        <v>8</v>
      </c>
      <c r="H21" s="75" t="s">
        <v>62</v>
      </c>
      <c r="I21" s="77">
        <f>VLOOKUP(H21,Ingredients!$B$3:$C$44,2,FALSE)</f>
        <v>0</v>
      </c>
      <c r="J21" s="75" t="s">
        <v>62</v>
      </c>
      <c r="K21" s="78">
        <f>VLOOKUP(J21,Ingredients!$B$3:$C$44,2,FALSE)</f>
        <v>0</v>
      </c>
      <c r="L21" s="75" t="s">
        <v>62</v>
      </c>
      <c r="M21" s="79">
        <f>VLOOKUP(L21,Ingredients!$B$3:$C$44,2,FALSE)</f>
        <v>0</v>
      </c>
      <c r="N21" s="80">
        <f t="shared" si="1"/>
        <v>18</v>
      </c>
    </row>
    <row r="22">
      <c r="A22" s="90" t="s">
        <v>82</v>
      </c>
      <c r="B22" s="68" t="s">
        <v>2</v>
      </c>
      <c r="C22" s="69">
        <f>VLOOKUP(B22,Ingredients!$B$3:$C$44,2,FALSE)</f>
        <v>5</v>
      </c>
      <c r="D22" s="68" t="s">
        <v>22</v>
      </c>
      <c r="E22" s="70">
        <f>VLOOKUP(D22,Ingredients!$B$3:$C$44,2,FALSE)</f>
        <v>10</v>
      </c>
      <c r="F22" s="68" t="s">
        <v>50</v>
      </c>
      <c r="G22" s="70">
        <f>VLOOKUP(F22,Ingredients!$B$3:$C$44,2,FALSE)</f>
        <v>5</v>
      </c>
      <c r="H22" s="68" t="s">
        <v>62</v>
      </c>
      <c r="I22" s="70">
        <f>VLOOKUP(H22,Ingredients!$B$3:$C$44,2,FALSE)</f>
        <v>0</v>
      </c>
      <c r="J22" s="68" t="s">
        <v>62</v>
      </c>
      <c r="K22" s="71">
        <f>VLOOKUP(J22,Ingredients!$B$3:$C$44,2,FALSE)</f>
        <v>0</v>
      </c>
      <c r="L22" s="68" t="s">
        <v>62</v>
      </c>
      <c r="M22" s="72">
        <f>VLOOKUP(L22,Ingredients!$B$3:$C$44,2,FALSE)</f>
        <v>0</v>
      </c>
      <c r="N22" s="73">
        <f t="shared" si="1"/>
        <v>20</v>
      </c>
    </row>
    <row r="23">
      <c r="A23" s="90" t="s">
        <v>83</v>
      </c>
      <c r="B23" s="68" t="s">
        <v>48</v>
      </c>
      <c r="C23" s="69">
        <f>VLOOKUP(B23,Ingredients!$B$3:$C$44,2,FALSE)</f>
        <v>5</v>
      </c>
      <c r="D23" s="68" t="s">
        <v>51</v>
      </c>
      <c r="E23" s="70">
        <f>VLOOKUP(D23,Ingredients!$B$3:$C$44,2,FALSE)</f>
        <v>10</v>
      </c>
      <c r="F23" s="68" t="s">
        <v>47</v>
      </c>
      <c r="G23" s="70">
        <f>VLOOKUP(F23,Ingredients!$B$3:$C$44,2,FALSE)</f>
        <v>5</v>
      </c>
      <c r="H23" s="68" t="s">
        <v>62</v>
      </c>
      <c r="I23" s="70">
        <f>VLOOKUP(H23,Ingredients!$B$3:$C$44,2,FALSE)</f>
        <v>0</v>
      </c>
      <c r="J23" s="68" t="s">
        <v>62</v>
      </c>
      <c r="K23" s="71">
        <f>VLOOKUP(J23,Ingredients!$B$3:$C$44,2,FALSE)</f>
        <v>0</v>
      </c>
      <c r="L23" s="68" t="s">
        <v>62</v>
      </c>
      <c r="M23" s="72">
        <f>VLOOKUP(L23,Ingredients!$B$3:$C$44,2,FALSE)</f>
        <v>0</v>
      </c>
      <c r="N23" s="73">
        <f t="shared" si="1"/>
        <v>20</v>
      </c>
    </row>
    <row r="24">
      <c r="A24" s="81" t="s">
        <v>13</v>
      </c>
      <c r="B24" s="75" t="s">
        <v>30</v>
      </c>
      <c r="C24" s="76">
        <f>VLOOKUP(B24,Ingredients!$B$3:$C$44,2,FALSE)</f>
        <v>3</v>
      </c>
      <c r="D24" s="75" t="s">
        <v>25</v>
      </c>
      <c r="E24" s="77">
        <f>VLOOKUP(D24,Ingredients!$B$3:$C$44,2,FALSE)</f>
        <v>5</v>
      </c>
      <c r="F24" s="75" t="s">
        <v>55</v>
      </c>
      <c r="G24" s="77">
        <f>VLOOKUP(F24,Ingredients!$B$3:$C$44,2,FALSE)</f>
        <v>7</v>
      </c>
      <c r="H24" s="75" t="s">
        <v>62</v>
      </c>
      <c r="I24" s="77">
        <f>VLOOKUP(H24,Ingredients!$B$3:$C$44,2,FALSE)</f>
        <v>0</v>
      </c>
      <c r="J24" s="75" t="s">
        <v>62</v>
      </c>
      <c r="K24" s="78">
        <f>VLOOKUP(J24,Ingredients!$B$3:$C$44,2,FALSE)</f>
        <v>0</v>
      </c>
      <c r="L24" s="75" t="s">
        <v>62</v>
      </c>
      <c r="M24" s="79">
        <f>VLOOKUP(L24,Ingredients!$B$3:$C$44,2,FALSE)</f>
        <v>0</v>
      </c>
      <c r="N24" s="80">
        <f t="shared" si="1"/>
        <v>15</v>
      </c>
    </row>
    <row r="25">
      <c r="A25" s="83" t="s">
        <v>84</v>
      </c>
      <c r="B25" s="84" t="s">
        <v>32</v>
      </c>
      <c r="C25" s="85">
        <f>VLOOKUP(B25,Ingredients!$B$3:$C$44,2,FALSE)</f>
        <v>5</v>
      </c>
      <c r="D25" s="84" t="s">
        <v>24</v>
      </c>
      <c r="E25" s="86">
        <f>VLOOKUP(D25,Ingredients!$B$3:$C$44,2,FALSE)</f>
        <v>11</v>
      </c>
      <c r="F25" s="84" t="s">
        <v>25</v>
      </c>
      <c r="G25" s="86">
        <f>VLOOKUP(F25,Ingredients!$B$3:$C$44,2,FALSE)</f>
        <v>5</v>
      </c>
      <c r="H25" s="84" t="s">
        <v>39</v>
      </c>
      <c r="I25" s="86">
        <f>VLOOKUP(H25,Ingredients!$B$3:$C$44,2,FALSE)</f>
        <v>5</v>
      </c>
      <c r="J25" s="84" t="s">
        <v>62</v>
      </c>
      <c r="K25" s="87">
        <f>VLOOKUP(J25,Ingredients!$B$3:$C$44,2,FALSE)</f>
        <v>0</v>
      </c>
      <c r="L25" s="84" t="s">
        <v>62</v>
      </c>
      <c r="M25" s="88">
        <f>VLOOKUP(L25,Ingredients!$B$3:$C$44,2,FALSE)</f>
        <v>0</v>
      </c>
      <c r="N25" s="89">
        <f t="shared" si="1"/>
        <v>26</v>
      </c>
    </row>
    <row r="26">
      <c r="A26" s="81" t="s">
        <v>85</v>
      </c>
      <c r="B26" s="75" t="s">
        <v>54</v>
      </c>
      <c r="C26" s="76">
        <f>VLOOKUP(B26,Ingredients!$B$3:$C$44,2,FALSE)</f>
        <v>8</v>
      </c>
      <c r="D26" s="75" t="s">
        <v>36</v>
      </c>
      <c r="E26" s="77">
        <f>VLOOKUP(D26,Ingredients!$B$3:$C$44,2,FALSE)</f>
        <v>5</v>
      </c>
      <c r="F26" s="75" t="s">
        <v>48</v>
      </c>
      <c r="G26" s="77">
        <f>VLOOKUP(F26,Ingredients!$B$3:$C$44,2,FALSE)</f>
        <v>5</v>
      </c>
      <c r="H26" s="75" t="s">
        <v>62</v>
      </c>
      <c r="I26" s="77">
        <f>VLOOKUP(H26,Ingredients!$B$3:$C$44,2,FALSE)</f>
        <v>0</v>
      </c>
      <c r="J26" s="75" t="s">
        <v>62</v>
      </c>
      <c r="K26" s="78">
        <f>VLOOKUP(J26,Ingredients!$B$3:$C$44,2,FALSE)</f>
        <v>0</v>
      </c>
      <c r="L26" s="75" t="s">
        <v>62</v>
      </c>
      <c r="M26" s="79">
        <f>VLOOKUP(L26,Ingredients!$B$3:$C$44,2,FALSE)</f>
        <v>0</v>
      </c>
      <c r="N26" s="80">
        <f t="shared" si="1"/>
        <v>18</v>
      </c>
    </row>
    <row r="27">
      <c r="A27" s="83" t="s">
        <v>86</v>
      </c>
      <c r="B27" s="84" t="s">
        <v>42</v>
      </c>
      <c r="C27" s="85">
        <f>VLOOKUP(B27,Ingredients!$B$3:$C$44,2,FALSE)</f>
        <v>6</v>
      </c>
      <c r="D27" s="84" t="s">
        <v>34</v>
      </c>
      <c r="E27" s="86">
        <f>VLOOKUP(D27,Ingredients!$B$3:$C$44,2,FALSE)</f>
        <v>5</v>
      </c>
      <c r="F27" s="84" t="s">
        <v>54</v>
      </c>
      <c r="G27" s="86">
        <f>VLOOKUP(F27,Ingredients!$B$3:$C$44,2,FALSE)</f>
        <v>8</v>
      </c>
      <c r="H27" s="84" t="s">
        <v>29</v>
      </c>
      <c r="I27" s="86">
        <f>VLOOKUP(H27,Ingredients!$B$3:$C$44,2,FALSE)</f>
        <v>8</v>
      </c>
      <c r="J27" s="84" t="s">
        <v>62</v>
      </c>
      <c r="K27" s="87">
        <f>VLOOKUP(J27,Ingredients!$B$3:$C$44,2,FALSE)</f>
        <v>0</v>
      </c>
      <c r="L27" s="84" t="s">
        <v>62</v>
      </c>
      <c r="M27" s="88">
        <f>VLOOKUP(L27,Ingredients!$B$3:$C$44,2,FALSE)</f>
        <v>0</v>
      </c>
      <c r="N27" s="89">
        <f t="shared" si="1"/>
        <v>27</v>
      </c>
    </row>
    <row r="28">
      <c r="A28" s="90" t="s">
        <v>87</v>
      </c>
      <c r="B28" s="68" t="s">
        <v>37</v>
      </c>
      <c r="C28" s="69">
        <f>VLOOKUP(B28,Ingredients!$B$3:$C$44,2,FALSE)</f>
        <v>5</v>
      </c>
      <c r="D28" s="68" t="s">
        <v>24</v>
      </c>
      <c r="E28" s="70">
        <f>VLOOKUP(D28,Ingredients!$B$3:$C$44,2,FALSE)</f>
        <v>11</v>
      </c>
      <c r="F28" s="68" t="s">
        <v>55</v>
      </c>
      <c r="G28" s="70">
        <f>VLOOKUP(F28,Ingredients!$B$3:$C$44,2,FALSE)</f>
        <v>7</v>
      </c>
      <c r="H28" s="68" t="s">
        <v>62</v>
      </c>
      <c r="I28" s="70">
        <f>VLOOKUP(H28,Ingredients!$B$3:$C$44,2,FALSE)</f>
        <v>0</v>
      </c>
      <c r="J28" s="68" t="s">
        <v>62</v>
      </c>
      <c r="K28" s="71">
        <f>VLOOKUP(J28,Ingredients!$B$3:$C$44,2,FALSE)</f>
        <v>0</v>
      </c>
      <c r="L28" s="68" t="s">
        <v>62</v>
      </c>
      <c r="M28" s="72">
        <f>VLOOKUP(L28,Ingredients!$B$3:$C$44,2,FALSE)</f>
        <v>0</v>
      </c>
      <c r="N28" s="73">
        <f t="shared" si="1"/>
        <v>23</v>
      </c>
    </row>
    <row r="29">
      <c r="A29" s="81" t="s">
        <v>88</v>
      </c>
      <c r="B29" s="75" t="s">
        <v>37</v>
      </c>
      <c r="C29" s="76">
        <f>VLOOKUP(B29,Ingredients!$B$3:$C$44,2,FALSE)</f>
        <v>5</v>
      </c>
      <c r="D29" s="75" t="s">
        <v>32</v>
      </c>
      <c r="E29" s="77">
        <f>VLOOKUP(D29,Ingredients!$B$3:$C$44,2,FALSE)</f>
        <v>5</v>
      </c>
      <c r="F29" s="75" t="s">
        <v>55</v>
      </c>
      <c r="G29" s="77">
        <f>VLOOKUP(F29,Ingredients!$B$3:$C$44,2,FALSE)</f>
        <v>7</v>
      </c>
      <c r="H29" s="75" t="s">
        <v>62</v>
      </c>
      <c r="I29" s="77">
        <f>VLOOKUP(H29,Ingredients!$B$3:$C$44,2,FALSE)</f>
        <v>0</v>
      </c>
      <c r="J29" s="75" t="s">
        <v>62</v>
      </c>
      <c r="K29" s="78">
        <f>VLOOKUP(J29,Ingredients!$B$3:$C$44,2,FALSE)</f>
        <v>0</v>
      </c>
      <c r="L29" s="75" t="s">
        <v>62</v>
      </c>
      <c r="M29" s="79">
        <f>VLOOKUP(L29,Ingredients!$B$3:$C$44,2,FALSE)</f>
        <v>0</v>
      </c>
      <c r="N29" s="80">
        <f t="shared" si="1"/>
        <v>17</v>
      </c>
    </row>
    <row r="30">
      <c r="A30" s="83" t="s">
        <v>89</v>
      </c>
      <c r="B30" s="84" t="s">
        <v>31</v>
      </c>
      <c r="C30" s="85">
        <f>VLOOKUP(B30,Ingredients!$B$3:$C$44,2,FALSE)</f>
        <v>5</v>
      </c>
      <c r="D30" s="84" t="s">
        <v>55</v>
      </c>
      <c r="E30" s="86">
        <f>VLOOKUP(D30,Ingredients!$B$3:$C$44,2,FALSE)</f>
        <v>7</v>
      </c>
      <c r="F30" s="84" t="s">
        <v>24</v>
      </c>
      <c r="G30" s="86">
        <f>VLOOKUP(F30,Ingredients!$B$3:$C$44,2,FALSE)</f>
        <v>11</v>
      </c>
      <c r="H30" s="84" t="s">
        <v>32</v>
      </c>
      <c r="I30" s="86">
        <f>VLOOKUP(H30,Ingredients!$B$3:$C$44,2,FALSE)</f>
        <v>5</v>
      </c>
      <c r="J30" s="84" t="s">
        <v>62</v>
      </c>
      <c r="K30" s="87">
        <f>VLOOKUP(J30,Ingredients!$B$3:$C$44,2,FALSE)</f>
        <v>0</v>
      </c>
      <c r="L30" s="84" t="s">
        <v>62</v>
      </c>
      <c r="M30" s="88">
        <f>VLOOKUP(L30,Ingredients!$B$3:$C$44,2,FALSE)</f>
        <v>0</v>
      </c>
      <c r="N30" s="89">
        <f t="shared" si="1"/>
        <v>28</v>
      </c>
    </row>
    <row r="31">
      <c r="A31" s="81" t="s">
        <v>90</v>
      </c>
      <c r="B31" s="75" t="s">
        <v>38</v>
      </c>
      <c r="C31" s="76">
        <f>VLOOKUP(B31,Ingredients!$B$3:$C$44,2,FALSE)</f>
        <v>5</v>
      </c>
      <c r="D31" s="75" t="s">
        <v>33</v>
      </c>
      <c r="E31" s="77">
        <f>VLOOKUP(D31,Ingredients!$B$3:$C$44,2,FALSE)</f>
        <v>5</v>
      </c>
      <c r="F31" s="75" t="s">
        <v>40</v>
      </c>
      <c r="G31" s="77">
        <f>VLOOKUP(F31,Ingredients!$B$3:$C$44,2,FALSE)</f>
        <v>5</v>
      </c>
      <c r="H31" s="75" t="s">
        <v>62</v>
      </c>
      <c r="I31" s="77">
        <f>VLOOKUP(H31,Ingredients!$B$3:$C$44,2,FALSE)</f>
        <v>0</v>
      </c>
      <c r="J31" s="75" t="s">
        <v>62</v>
      </c>
      <c r="K31" s="78">
        <f>VLOOKUP(J31,Ingredients!$B$3:$C$44,2,FALSE)</f>
        <v>0</v>
      </c>
      <c r="L31" s="75" t="s">
        <v>62</v>
      </c>
      <c r="M31" s="79">
        <f>VLOOKUP(L31,Ingredients!$B$3:$C$44,2,FALSE)</f>
        <v>0</v>
      </c>
      <c r="N31" s="80">
        <f t="shared" si="1"/>
        <v>15</v>
      </c>
    </row>
    <row r="32">
      <c r="A32" s="90" t="s">
        <v>91</v>
      </c>
      <c r="B32" s="68" t="s">
        <v>39</v>
      </c>
      <c r="C32" s="69">
        <f>VLOOKUP(B32,Ingredients!$B$3:$C$44,2,FALSE)</f>
        <v>5</v>
      </c>
      <c r="D32" s="68" t="s">
        <v>24</v>
      </c>
      <c r="E32" s="70">
        <f>VLOOKUP(D32,Ingredients!$B$3:$C$44,2,FALSE)</f>
        <v>11</v>
      </c>
      <c r="F32" s="68" t="s">
        <v>55</v>
      </c>
      <c r="G32" s="70">
        <f>VLOOKUP(F32,Ingredients!$B$3:$C$44,2,FALSE)</f>
        <v>7</v>
      </c>
      <c r="H32" s="68" t="s">
        <v>62</v>
      </c>
      <c r="I32" s="70">
        <f>VLOOKUP(H32,Ingredients!$B$3:$C$44,2,FALSE)</f>
        <v>0</v>
      </c>
      <c r="J32" s="68" t="s">
        <v>62</v>
      </c>
      <c r="K32" s="71">
        <f>VLOOKUP(J32,Ingredients!$B$3:$C$44,2,FALSE)</f>
        <v>0</v>
      </c>
      <c r="L32" s="68" t="s">
        <v>62</v>
      </c>
      <c r="M32" s="72">
        <f>VLOOKUP(L32,Ingredients!$B$3:$C$44,2,FALSE)</f>
        <v>0</v>
      </c>
      <c r="N32" s="73">
        <f t="shared" si="1"/>
        <v>23</v>
      </c>
    </row>
    <row r="33">
      <c r="A33" s="90" t="s">
        <v>92</v>
      </c>
      <c r="B33" s="68" t="s">
        <v>24</v>
      </c>
      <c r="C33" s="69">
        <f>VLOOKUP(B33,Ingredients!$B$3:$C$44,2,FALSE)</f>
        <v>11</v>
      </c>
      <c r="D33" s="68" t="s">
        <v>31</v>
      </c>
      <c r="E33" s="70">
        <f>VLOOKUP(D33,Ingredients!$B$3:$C$44,2,FALSE)</f>
        <v>5</v>
      </c>
      <c r="F33" s="68" t="s">
        <v>37</v>
      </c>
      <c r="G33" s="70">
        <f>VLOOKUP(F33,Ingredients!$B$3:$C$44,2,FALSE)</f>
        <v>5</v>
      </c>
      <c r="H33" s="68" t="s">
        <v>62</v>
      </c>
      <c r="I33" s="70">
        <f>VLOOKUP(H33,Ingredients!$B$3:$C$44,2,FALSE)</f>
        <v>0</v>
      </c>
      <c r="J33" s="68" t="s">
        <v>62</v>
      </c>
      <c r="K33" s="71">
        <f>VLOOKUP(J33,Ingredients!$B$3:$C$44,2,FALSE)</f>
        <v>0</v>
      </c>
      <c r="L33" s="68" t="s">
        <v>62</v>
      </c>
      <c r="M33" s="72">
        <f>VLOOKUP(L33,Ingredients!$B$3:$C$44,2,FALSE)</f>
        <v>0</v>
      </c>
      <c r="N33" s="73">
        <f t="shared" si="1"/>
        <v>21</v>
      </c>
    </row>
    <row r="34">
      <c r="A34" s="91" t="s">
        <v>93</v>
      </c>
      <c r="B34" s="92" t="s">
        <v>46</v>
      </c>
      <c r="C34" s="93">
        <f>VLOOKUP(B34,Ingredients!$B$3:$C$44,2,FALSE)</f>
        <v>15</v>
      </c>
      <c r="D34" s="92" t="s">
        <v>39</v>
      </c>
      <c r="E34" s="94">
        <f>VLOOKUP(D34,Ingredients!$B$3:$C$44,2,FALSE)</f>
        <v>5</v>
      </c>
      <c r="F34" s="92" t="s">
        <v>59</v>
      </c>
      <c r="G34" s="94">
        <f>VLOOKUP(F34,Ingredients!$B$3:$C$44,2,FALSE)</f>
        <v>17</v>
      </c>
      <c r="H34" s="92" t="s">
        <v>62</v>
      </c>
      <c r="I34" s="94">
        <f>VLOOKUP(H34,Ingredients!$B$3:$C$44,2,FALSE)</f>
        <v>0</v>
      </c>
      <c r="J34" s="92" t="s">
        <v>62</v>
      </c>
      <c r="K34" s="95">
        <f>VLOOKUP(J34,Ingredients!$B$3:$C$44,2,FALSE)</f>
        <v>0</v>
      </c>
      <c r="L34" s="92" t="s">
        <v>62</v>
      </c>
      <c r="M34" s="96">
        <f>VLOOKUP(L34,Ingredients!$B$3:$C$44,2,FALSE)</f>
        <v>0</v>
      </c>
      <c r="N34" s="97">
        <f t="shared" si="1"/>
        <v>37</v>
      </c>
    </row>
    <row r="35">
      <c r="A35" s="81" t="s">
        <v>94</v>
      </c>
      <c r="B35" s="75" t="s">
        <v>49</v>
      </c>
      <c r="C35" s="76">
        <f>VLOOKUP(B35,Ingredients!$B$3:$C$44,2,FALSE)</f>
        <v>5</v>
      </c>
      <c r="D35" s="75" t="s">
        <v>27</v>
      </c>
      <c r="E35" s="77">
        <f>VLOOKUP(D35,Ingredients!$B$3:$C$44,2,FALSE)</f>
        <v>5</v>
      </c>
      <c r="F35" s="75" t="s">
        <v>40</v>
      </c>
      <c r="G35" s="77">
        <f>VLOOKUP(F35,Ingredients!$B$3:$C$44,2,FALSE)</f>
        <v>5</v>
      </c>
      <c r="H35" s="75" t="s">
        <v>62</v>
      </c>
      <c r="I35" s="77">
        <f>VLOOKUP(H35,Ingredients!$B$3:$C$44,2,FALSE)</f>
        <v>0</v>
      </c>
      <c r="J35" s="75" t="s">
        <v>62</v>
      </c>
      <c r="K35" s="78">
        <f>VLOOKUP(J35,Ingredients!$B$3:$C$44,2,FALSE)</f>
        <v>0</v>
      </c>
      <c r="L35" s="75" t="s">
        <v>62</v>
      </c>
      <c r="M35" s="79">
        <f>VLOOKUP(L35,Ingredients!$B$3:$C$44,2,FALSE)</f>
        <v>0</v>
      </c>
      <c r="N35" s="80">
        <f t="shared" si="1"/>
        <v>15</v>
      </c>
    </row>
    <row r="36">
      <c r="A36" s="81" t="s">
        <v>95</v>
      </c>
      <c r="B36" s="75" t="s">
        <v>49</v>
      </c>
      <c r="C36" s="76">
        <f>VLOOKUP(B36,Ingredients!$B$3:$C$44,2,FALSE)</f>
        <v>5</v>
      </c>
      <c r="D36" s="75" t="s">
        <v>38</v>
      </c>
      <c r="E36" s="77">
        <f>VLOOKUP(D36,Ingredients!$B$3:$C$44,2,FALSE)</f>
        <v>5</v>
      </c>
      <c r="F36" s="75" t="s">
        <v>28</v>
      </c>
      <c r="G36" s="77">
        <f>VLOOKUP(F36,Ingredients!$B$3:$C$44,2,FALSE)</f>
        <v>5</v>
      </c>
      <c r="H36" s="75" t="s">
        <v>62</v>
      </c>
      <c r="I36" s="77">
        <f>VLOOKUP(H36,Ingredients!$B$3:$C$44,2,FALSE)</f>
        <v>0</v>
      </c>
      <c r="J36" s="75" t="s">
        <v>62</v>
      </c>
      <c r="K36" s="78">
        <f>VLOOKUP(J36,Ingredients!$B$3:$C$44,2,FALSE)</f>
        <v>0</v>
      </c>
      <c r="L36" s="75" t="s">
        <v>62</v>
      </c>
      <c r="M36" s="79">
        <f>VLOOKUP(L36,Ingredients!$B$3:$C$44,2,FALSE)</f>
        <v>0</v>
      </c>
      <c r="N36" s="80">
        <f t="shared" si="1"/>
        <v>15</v>
      </c>
    </row>
    <row r="37">
      <c r="A37" s="81" t="s">
        <v>96</v>
      </c>
      <c r="B37" s="75" t="s">
        <v>42</v>
      </c>
      <c r="C37" s="76">
        <f>VLOOKUP(B37,Ingredients!$B$3:$C$44,2,FALSE)</f>
        <v>6</v>
      </c>
      <c r="D37" s="75" t="s">
        <v>39</v>
      </c>
      <c r="E37" s="77">
        <f>VLOOKUP(D37,Ingredients!$B$3:$C$44,2,FALSE)</f>
        <v>5</v>
      </c>
      <c r="F37" s="75" t="s">
        <v>55</v>
      </c>
      <c r="G37" s="77">
        <f>VLOOKUP(F37,Ingredients!$B$3:$C$44,2,FALSE)</f>
        <v>7</v>
      </c>
      <c r="H37" s="75" t="s">
        <v>62</v>
      </c>
      <c r="I37" s="77">
        <f>VLOOKUP(H37,Ingredients!$B$3:$C$44,2,FALSE)</f>
        <v>0</v>
      </c>
      <c r="J37" s="75" t="s">
        <v>62</v>
      </c>
      <c r="K37" s="78">
        <f>VLOOKUP(J37,Ingredients!$B$3:$C$44,2,FALSE)</f>
        <v>0</v>
      </c>
      <c r="L37" s="75" t="s">
        <v>62</v>
      </c>
      <c r="M37" s="79">
        <f>VLOOKUP(L37,Ingredients!$B$3:$C$44,2,FALSE)</f>
        <v>0</v>
      </c>
      <c r="N37" s="80">
        <f t="shared" si="1"/>
        <v>18</v>
      </c>
    </row>
    <row r="38">
      <c r="A38" s="90" t="s">
        <v>97</v>
      </c>
      <c r="B38" s="68" t="s">
        <v>43</v>
      </c>
      <c r="C38" s="69">
        <f>VLOOKUP(B38,Ingredients!$B$3:$C$44,2,FALSE)</f>
        <v>6</v>
      </c>
      <c r="D38" s="68" t="s">
        <v>27</v>
      </c>
      <c r="E38" s="70">
        <f>VLOOKUP(D38,Ingredients!$B$3:$C$44,2,FALSE)</f>
        <v>5</v>
      </c>
      <c r="F38" s="68" t="s">
        <v>50</v>
      </c>
      <c r="G38" s="70">
        <f>VLOOKUP(F38,Ingredients!$B$3:$C$44,2,FALSE)</f>
        <v>5</v>
      </c>
      <c r="H38" s="68" t="s">
        <v>57</v>
      </c>
      <c r="I38" s="70">
        <f>VLOOKUP(H38,Ingredients!$B$3:$C$44,2,FALSE)</f>
        <v>5</v>
      </c>
      <c r="J38" s="68" t="s">
        <v>62</v>
      </c>
      <c r="K38" s="71">
        <f>VLOOKUP(J38,Ingredients!$B$3:$C$44,2,FALSE)</f>
        <v>0</v>
      </c>
      <c r="L38" s="68" t="s">
        <v>62</v>
      </c>
      <c r="M38" s="72">
        <f>VLOOKUP(L38,Ingredients!$B$3:$C$44,2,FALSE)</f>
        <v>0</v>
      </c>
      <c r="N38" s="73">
        <f t="shared" si="1"/>
        <v>21</v>
      </c>
    </row>
    <row r="39">
      <c r="A39" s="83" t="s">
        <v>98</v>
      </c>
      <c r="B39" s="84" t="s">
        <v>46</v>
      </c>
      <c r="C39" s="85">
        <f>VLOOKUP(B39,Ingredients!$B$3:$C$44,2,FALSE)</f>
        <v>15</v>
      </c>
      <c r="D39" s="84" t="s">
        <v>22</v>
      </c>
      <c r="E39" s="86">
        <f>VLOOKUP(D39,Ingredients!$B$3:$C$44,2,FALSE)</f>
        <v>10</v>
      </c>
      <c r="F39" s="84" t="s">
        <v>62</v>
      </c>
      <c r="G39" s="86">
        <f>VLOOKUP(F39,Ingredients!$B$3:$C$44,2,FALSE)</f>
        <v>0</v>
      </c>
      <c r="H39" s="84" t="s">
        <v>62</v>
      </c>
      <c r="I39" s="86">
        <f>VLOOKUP(H39,Ingredients!$B$3:$C$44,2,FALSE)</f>
        <v>0</v>
      </c>
      <c r="J39" s="84" t="s">
        <v>62</v>
      </c>
      <c r="K39" s="87">
        <f>VLOOKUP(J39,Ingredients!$B$3:$C$44,2,FALSE)</f>
        <v>0</v>
      </c>
      <c r="L39" s="84" t="s">
        <v>62</v>
      </c>
      <c r="M39" s="88">
        <f>VLOOKUP(L39,Ingredients!$B$3:$C$44,2,FALSE)</f>
        <v>0</v>
      </c>
      <c r="N39" s="89">
        <f t="shared" si="1"/>
        <v>25</v>
      </c>
    </row>
    <row r="40">
      <c r="A40" s="83" t="s">
        <v>99</v>
      </c>
      <c r="B40" s="84" t="s">
        <v>46</v>
      </c>
      <c r="C40" s="85">
        <f>VLOOKUP(B40,Ingredients!$B$3:$C$44,2,FALSE)</f>
        <v>15</v>
      </c>
      <c r="D40" s="84" t="s">
        <v>57</v>
      </c>
      <c r="E40" s="86">
        <f>VLOOKUP(D40,Ingredients!$B$3:$C$44,2,FALSE)</f>
        <v>5</v>
      </c>
      <c r="F40" s="84" t="s">
        <v>54</v>
      </c>
      <c r="G40" s="86">
        <f>VLOOKUP(F40,Ingredients!$B$3:$C$44,2,FALSE)</f>
        <v>8</v>
      </c>
      <c r="H40" s="84" t="s">
        <v>62</v>
      </c>
      <c r="I40" s="86">
        <f>VLOOKUP(H40,Ingredients!$B$3:$C$44,2,FALSE)</f>
        <v>0</v>
      </c>
      <c r="J40" s="84" t="s">
        <v>62</v>
      </c>
      <c r="K40" s="87">
        <f>VLOOKUP(J40,Ingredients!$B$3:$C$44,2,FALSE)</f>
        <v>0</v>
      </c>
      <c r="L40" s="84" t="s">
        <v>62</v>
      </c>
      <c r="M40" s="88">
        <f>VLOOKUP(L40,Ingredients!$B$3:$C$44,2,FALSE)</f>
        <v>0</v>
      </c>
      <c r="N40" s="89">
        <f t="shared" si="1"/>
        <v>28</v>
      </c>
    </row>
    <row r="41">
      <c r="A41" s="91" t="s">
        <v>100</v>
      </c>
      <c r="B41" s="92" t="s">
        <v>46</v>
      </c>
      <c r="C41" s="93">
        <f>VLOOKUP(B41,Ingredients!$B$3:$C$44,2,FALSE)</f>
        <v>15</v>
      </c>
      <c r="D41" s="92" t="s">
        <v>39</v>
      </c>
      <c r="E41" s="94">
        <f>VLOOKUP(D41,Ingredients!$B$3:$C$44,2,FALSE)</f>
        <v>5</v>
      </c>
      <c r="F41" s="92" t="s">
        <v>34</v>
      </c>
      <c r="G41" s="94">
        <f>VLOOKUP(F41,Ingredients!$B$3:$C$44,2,FALSE)</f>
        <v>5</v>
      </c>
      <c r="H41" s="92" t="s">
        <v>26</v>
      </c>
      <c r="I41" s="94">
        <f>VLOOKUP(H41,Ingredients!$B$3:$C$44,2,FALSE)</f>
        <v>8</v>
      </c>
      <c r="J41" s="92" t="s">
        <v>62</v>
      </c>
      <c r="K41" s="95">
        <f>VLOOKUP(J41,Ingredients!$B$3:$C$44,2,FALSE)</f>
        <v>0</v>
      </c>
      <c r="L41" s="92" t="s">
        <v>62</v>
      </c>
      <c r="M41" s="96">
        <f>VLOOKUP(L41,Ingredients!$B$3:$C$44,2,FALSE)</f>
        <v>0</v>
      </c>
      <c r="N41" s="97">
        <f t="shared" si="1"/>
        <v>33</v>
      </c>
    </row>
    <row r="42">
      <c r="A42" s="83" t="s">
        <v>101</v>
      </c>
      <c r="B42" s="84" t="s">
        <v>46</v>
      </c>
      <c r="C42" s="85">
        <f>VLOOKUP(B42,Ingredients!$B$3:$C$44,2,FALSE)</f>
        <v>15</v>
      </c>
      <c r="D42" s="84" t="s">
        <v>37</v>
      </c>
      <c r="E42" s="86">
        <f>VLOOKUP(D42,Ingredients!$B$3:$C$44,2,FALSE)</f>
        <v>5</v>
      </c>
      <c r="F42" s="84" t="s">
        <v>52</v>
      </c>
      <c r="G42" s="86">
        <f>VLOOKUP(F42,Ingredients!$B$3:$C$44,2,FALSE)</f>
        <v>5</v>
      </c>
      <c r="H42" s="84" t="s">
        <v>62</v>
      </c>
      <c r="I42" s="86">
        <f>VLOOKUP(H42,Ingredients!$B$3:$C$44,2,FALSE)</f>
        <v>0</v>
      </c>
      <c r="J42" s="84" t="s">
        <v>62</v>
      </c>
      <c r="K42" s="87">
        <f>VLOOKUP(J42,Ingredients!$B$3:$C$44,2,FALSE)</f>
        <v>0</v>
      </c>
      <c r="L42" s="84" t="s">
        <v>62</v>
      </c>
      <c r="M42" s="88">
        <f>VLOOKUP(L42,Ingredients!$B$3:$C$44,2,FALSE)</f>
        <v>0</v>
      </c>
      <c r="N42" s="89">
        <f t="shared" si="1"/>
        <v>25</v>
      </c>
    </row>
    <row r="43">
      <c r="A43" s="91" t="s">
        <v>102</v>
      </c>
      <c r="B43" s="92" t="s">
        <v>45</v>
      </c>
      <c r="C43" s="93">
        <f>VLOOKUP(B43,Ingredients!$B$3:$C$44,2,FALSE)</f>
        <v>15</v>
      </c>
      <c r="D43" s="98" t="s">
        <v>57</v>
      </c>
      <c r="E43" s="94">
        <f>VLOOKUP(D43,Ingredients!$B$3:$C$44,2,FALSE)</f>
        <v>5</v>
      </c>
      <c r="F43" s="92" t="s">
        <v>40</v>
      </c>
      <c r="G43" s="94">
        <f>VLOOKUP(F43,Ingredients!$B$3:$C$44,2,FALSE)</f>
        <v>5</v>
      </c>
      <c r="H43" s="92" t="s">
        <v>54</v>
      </c>
      <c r="I43" s="94">
        <f>VLOOKUP(H43,Ingredients!$B$3:$C$44,2,FALSE)</f>
        <v>8</v>
      </c>
      <c r="J43" s="92" t="s">
        <v>51</v>
      </c>
      <c r="K43" s="95">
        <f>VLOOKUP(J43,Ingredients!$B$3:$C$44,2,FALSE)</f>
        <v>10</v>
      </c>
      <c r="L43" s="92" t="s">
        <v>34</v>
      </c>
      <c r="M43" s="96">
        <f>VLOOKUP(L43,Ingredients!$B$3:$C$44,2,FALSE)</f>
        <v>5</v>
      </c>
      <c r="N43" s="97">
        <f t="shared" si="1"/>
        <v>48</v>
      </c>
    </row>
    <row r="44">
      <c r="A44" s="91" t="s">
        <v>103</v>
      </c>
      <c r="B44" s="92" t="s">
        <v>45</v>
      </c>
      <c r="C44" s="93">
        <f>VLOOKUP(B44,Ingredients!$B$3:$C$44,2,FALSE)</f>
        <v>15</v>
      </c>
      <c r="D44" s="92" t="s">
        <v>47</v>
      </c>
      <c r="E44" s="94">
        <f>VLOOKUP(D44,Ingredients!$B$3:$C$44,2,FALSE)</f>
        <v>5</v>
      </c>
      <c r="F44" s="92" t="s">
        <v>41</v>
      </c>
      <c r="G44" s="94">
        <f>VLOOKUP(F44,Ingredients!$B$3:$C$44,2,FALSE)</f>
        <v>5</v>
      </c>
      <c r="H44" s="92" t="s">
        <v>57</v>
      </c>
      <c r="I44" s="94">
        <f>VLOOKUP(H44,Ingredients!$B$3:$C$44,2,FALSE)</f>
        <v>5</v>
      </c>
      <c r="J44" s="92" t="s">
        <v>62</v>
      </c>
      <c r="K44" s="95">
        <f>VLOOKUP(J44,Ingredients!$B$3:$C$44,2,FALSE)</f>
        <v>0</v>
      </c>
      <c r="L44" s="92" t="s">
        <v>62</v>
      </c>
      <c r="M44" s="96">
        <f>VLOOKUP(L44,Ingredients!$B$3:$C$44,2,FALSE)</f>
        <v>0</v>
      </c>
      <c r="N44" s="97">
        <f t="shared" si="1"/>
        <v>30</v>
      </c>
    </row>
    <row r="45">
      <c r="A45" s="83" t="s">
        <v>104</v>
      </c>
      <c r="B45" s="84" t="s">
        <v>45</v>
      </c>
      <c r="C45" s="85">
        <f>VLOOKUP(B45,Ingredients!$B$3:$C$44,2,FALSE)</f>
        <v>15</v>
      </c>
      <c r="D45" s="84" t="s">
        <v>57</v>
      </c>
      <c r="E45" s="86">
        <f>VLOOKUP(D45,Ingredients!$B$3:$C$44,2,FALSE)</f>
        <v>5</v>
      </c>
      <c r="F45" s="84" t="s">
        <v>26</v>
      </c>
      <c r="G45" s="86">
        <f>VLOOKUP(F45,Ingredients!$B$3:$C$44,2,FALSE)</f>
        <v>8</v>
      </c>
      <c r="H45" s="84" t="s">
        <v>62</v>
      </c>
      <c r="I45" s="86">
        <f>VLOOKUP(H45,Ingredients!$B$3:$C$44,2,FALSE)</f>
        <v>0</v>
      </c>
      <c r="J45" s="84" t="s">
        <v>62</v>
      </c>
      <c r="K45" s="87">
        <f>VLOOKUP(J45,Ingredients!$B$3:$C$44,2,FALSE)</f>
        <v>0</v>
      </c>
      <c r="L45" s="84" t="s">
        <v>62</v>
      </c>
      <c r="M45" s="88">
        <f>VLOOKUP(L45,Ingredients!$B$3:$C$44,2,FALSE)</f>
        <v>0</v>
      </c>
      <c r="N45" s="89">
        <f t="shared" si="1"/>
        <v>28</v>
      </c>
    </row>
    <row r="46">
      <c r="A46" s="83" t="s">
        <v>105</v>
      </c>
      <c r="B46" s="84" t="s">
        <v>45</v>
      </c>
      <c r="C46" s="85">
        <f>VLOOKUP(B46,Ingredients!$B$3:$C$44,2,FALSE)</f>
        <v>15</v>
      </c>
      <c r="D46" s="84" t="s">
        <v>34</v>
      </c>
      <c r="E46" s="86">
        <f>VLOOKUP(D46,Ingredients!$B$3:$C$44,2,FALSE)</f>
        <v>5</v>
      </c>
      <c r="F46" s="84" t="s">
        <v>57</v>
      </c>
      <c r="G46" s="86">
        <f>VLOOKUP(F46,Ingredients!$B$3:$C$44,2,FALSE)</f>
        <v>5</v>
      </c>
      <c r="H46" s="84" t="s">
        <v>62</v>
      </c>
      <c r="I46" s="86">
        <f>VLOOKUP(H46,Ingredients!$B$3:$C$44,2,FALSE)</f>
        <v>0</v>
      </c>
      <c r="J46" s="84" t="s">
        <v>62</v>
      </c>
      <c r="K46" s="87">
        <f>VLOOKUP(J46,Ingredients!$B$3:$C$44,2,FALSE)</f>
        <v>0</v>
      </c>
      <c r="L46" s="84" t="s">
        <v>62</v>
      </c>
      <c r="M46" s="88">
        <f>VLOOKUP(L46,Ingredients!$B$3:$C$44,2,FALSE)</f>
        <v>0</v>
      </c>
      <c r="N46" s="89">
        <f t="shared" si="1"/>
        <v>25</v>
      </c>
    </row>
    <row r="47">
      <c r="A47" s="90" t="s">
        <v>106</v>
      </c>
      <c r="B47" s="68" t="s">
        <v>26</v>
      </c>
      <c r="C47" s="69">
        <f>VLOOKUP(B47,Ingredients!$B$3:$C$44,2,FALSE)</f>
        <v>8</v>
      </c>
      <c r="D47" s="68" t="s">
        <v>42</v>
      </c>
      <c r="E47" s="70">
        <f>VLOOKUP(D47,Ingredients!$B$3:$C$44,2,FALSE)</f>
        <v>6</v>
      </c>
      <c r="F47" s="68" t="s">
        <v>41</v>
      </c>
      <c r="G47" s="70">
        <f>VLOOKUP(F47,Ingredients!$B$3:$C$44,2,FALSE)</f>
        <v>5</v>
      </c>
      <c r="H47" s="68" t="s">
        <v>47</v>
      </c>
      <c r="I47" s="70">
        <f>VLOOKUP(H47,Ingredients!$B$3:$C$44,2,FALSE)</f>
        <v>5</v>
      </c>
      <c r="J47" s="68" t="s">
        <v>62</v>
      </c>
      <c r="K47" s="71">
        <f>VLOOKUP(J47,Ingredients!$B$3:$C$44,2,FALSE)</f>
        <v>0</v>
      </c>
      <c r="L47" s="68" t="s">
        <v>62</v>
      </c>
      <c r="M47" s="72">
        <f>VLOOKUP(L47,Ingredients!$B$3:$C$44,2,FALSE)</f>
        <v>0</v>
      </c>
      <c r="N47" s="73">
        <f t="shared" si="1"/>
        <v>24</v>
      </c>
    </row>
    <row r="48">
      <c r="A48" s="81" t="s">
        <v>107</v>
      </c>
      <c r="B48" s="75" t="s">
        <v>26</v>
      </c>
      <c r="C48" s="76">
        <f>VLOOKUP(B48,Ingredients!$B$3:$C$44,2,FALSE)</f>
        <v>8</v>
      </c>
      <c r="D48" s="75" t="s">
        <v>57</v>
      </c>
      <c r="E48" s="77">
        <f>VLOOKUP(D48,Ingredients!$B$3:$C$44,2,FALSE)</f>
        <v>5</v>
      </c>
      <c r="F48" s="75" t="s">
        <v>40</v>
      </c>
      <c r="G48" s="77">
        <f>VLOOKUP(F48,Ingredients!$B$3:$C$44,2,FALSE)</f>
        <v>5</v>
      </c>
      <c r="H48" s="75" t="s">
        <v>62</v>
      </c>
      <c r="I48" s="77">
        <f>VLOOKUP(H48,Ingredients!$B$3:$C$44,2,FALSE)</f>
        <v>0</v>
      </c>
      <c r="J48" s="75" t="s">
        <v>62</v>
      </c>
      <c r="K48" s="78">
        <f>VLOOKUP(J48,Ingredients!$B$3:$C$44,2,FALSE)</f>
        <v>0</v>
      </c>
      <c r="L48" s="75" t="s">
        <v>62</v>
      </c>
      <c r="M48" s="79">
        <f>VLOOKUP(L48,Ingredients!$B$3:$C$44,2,FALSE)</f>
        <v>0</v>
      </c>
      <c r="N48" s="80">
        <f t="shared" si="1"/>
        <v>18</v>
      </c>
    </row>
    <row r="49">
      <c r="A49" s="83" t="s">
        <v>108</v>
      </c>
      <c r="B49" s="84" t="s">
        <v>48</v>
      </c>
      <c r="C49" s="85">
        <f>VLOOKUP(B49,Ingredients!$B$3:$C$44,2,FALSE)</f>
        <v>5</v>
      </c>
      <c r="D49" s="84" t="s">
        <v>59</v>
      </c>
      <c r="E49" s="86">
        <f>VLOOKUP(D49,Ingredients!$B$3:$C$44,2,FALSE)</f>
        <v>17</v>
      </c>
      <c r="F49" s="84" t="s">
        <v>40</v>
      </c>
      <c r="G49" s="86">
        <f>VLOOKUP(F49,Ingredients!$B$3:$C$44,2,FALSE)</f>
        <v>5</v>
      </c>
      <c r="H49" s="84" t="s">
        <v>62</v>
      </c>
      <c r="I49" s="86">
        <f>VLOOKUP(H49,Ingredients!$B$3:$C$44,2,FALSE)</f>
        <v>0</v>
      </c>
      <c r="J49" s="84" t="s">
        <v>62</v>
      </c>
      <c r="K49" s="87">
        <f>VLOOKUP(J49,Ingredients!$B$3:$C$44,2,FALSE)</f>
        <v>0</v>
      </c>
      <c r="L49" s="84" t="s">
        <v>62</v>
      </c>
      <c r="M49" s="88">
        <f>VLOOKUP(L49,Ingredients!$B$3:$C$44,2,FALSE)</f>
        <v>0</v>
      </c>
      <c r="N49" s="89">
        <f t="shared" si="1"/>
        <v>27</v>
      </c>
    </row>
    <row r="50">
      <c r="A50" s="81" t="s">
        <v>15</v>
      </c>
      <c r="B50" s="75" t="s">
        <v>29</v>
      </c>
      <c r="C50" s="76">
        <f>VLOOKUP(B50,Ingredients!$B$3:$C$44,2,FALSE)</f>
        <v>8</v>
      </c>
      <c r="D50" s="75" t="s">
        <v>49</v>
      </c>
      <c r="E50" s="77">
        <f>VLOOKUP(D50,Ingredients!$B$3:$C$44,2,FALSE)</f>
        <v>5</v>
      </c>
      <c r="F50" s="75" t="s">
        <v>57</v>
      </c>
      <c r="G50" s="77">
        <f>VLOOKUP(F50,Ingredients!$B$3:$C$44,2,FALSE)</f>
        <v>5</v>
      </c>
      <c r="H50" s="75" t="s">
        <v>62</v>
      </c>
      <c r="I50" s="77">
        <f>VLOOKUP(H50,Ingredients!$B$3:$C$44,2,FALSE)</f>
        <v>0</v>
      </c>
      <c r="J50" s="75" t="s">
        <v>62</v>
      </c>
      <c r="K50" s="78">
        <f>VLOOKUP(J50,Ingredients!$B$3:$C$44,2,FALSE)</f>
        <v>0</v>
      </c>
      <c r="L50" s="75" t="s">
        <v>62</v>
      </c>
      <c r="M50" s="79">
        <f>VLOOKUP(L50,Ingredients!$B$3:$C$44,2,FALSE)</f>
        <v>0</v>
      </c>
      <c r="N50" s="80">
        <f t="shared" si="1"/>
        <v>18</v>
      </c>
    </row>
    <row r="51">
      <c r="A51" s="81" t="s">
        <v>17</v>
      </c>
      <c r="B51" s="75" t="s">
        <v>29</v>
      </c>
      <c r="C51" s="76">
        <f>VLOOKUP(B51,Ingredients!$B$3:$C$44,2,FALSE)</f>
        <v>8</v>
      </c>
      <c r="D51" s="75" t="s">
        <v>49</v>
      </c>
      <c r="E51" s="77">
        <f>VLOOKUP(D51,Ingredients!$B$3:$C$44,2,FALSE)</f>
        <v>5</v>
      </c>
      <c r="F51" s="75" t="s">
        <v>37</v>
      </c>
      <c r="G51" s="77">
        <f>VLOOKUP(F51,Ingredients!$B$3:$C$44,2,FALSE)</f>
        <v>5</v>
      </c>
      <c r="H51" s="75" t="s">
        <v>62</v>
      </c>
      <c r="I51" s="77">
        <f>VLOOKUP(H51,Ingredients!$B$3:$C$44,2,FALSE)</f>
        <v>0</v>
      </c>
      <c r="J51" s="75" t="s">
        <v>62</v>
      </c>
      <c r="K51" s="78">
        <f>VLOOKUP(J51,Ingredients!$B$3:$C$44,2,FALSE)</f>
        <v>0</v>
      </c>
      <c r="L51" s="75" t="s">
        <v>62</v>
      </c>
      <c r="M51" s="79">
        <f>VLOOKUP(L51,Ingredients!$B$3:$C$44,2,FALSE)</f>
        <v>0</v>
      </c>
      <c r="N51" s="80">
        <f t="shared" si="1"/>
        <v>18</v>
      </c>
    </row>
    <row r="52">
      <c r="A52" s="81" t="s">
        <v>109</v>
      </c>
      <c r="B52" s="75" t="s">
        <v>29</v>
      </c>
      <c r="C52" s="76">
        <f>VLOOKUP(B52,Ingredients!$B$3:$C$44,2,FALSE)</f>
        <v>8</v>
      </c>
      <c r="D52" s="82" t="s">
        <v>36</v>
      </c>
      <c r="E52" s="77">
        <f>VLOOKUP(D52,Ingredients!$B$3:$C$44,2,FALSE)</f>
        <v>5</v>
      </c>
      <c r="F52" s="75" t="s">
        <v>48</v>
      </c>
      <c r="G52" s="77">
        <f>VLOOKUP(F52,Ingredients!$B$3:$C$44,2,FALSE)</f>
        <v>5</v>
      </c>
      <c r="H52" s="75" t="s">
        <v>62</v>
      </c>
      <c r="I52" s="77">
        <f>VLOOKUP(H52,Ingredients!$B$3:$C$44,2,FALSE)</f>
        <v>0</v>
      </c>
      <c r="J52" s="75" t="s">
        <v>62</v>
      </c>
      <c r="K52" s="78">
        <f>VLOOKUP(J52,Ingredients!$B$3:$C$44,2,FALSE)</f>
        <v>0</v>
      </c>
      <c r="L52" s="75" t="s">
        <v>62</v>
      </c>
      <c r="M52" s="79">
        <f>VLOOKUP(L52,Ingredients!$B$3:$C$44,2,FALSE)</f>
        <v>0</v>
      </c>
      <c r="N52" s="80">
        <f t="shared" si="1"/>
        <v>18</v>
      </c>
    </row>
    <row r="53">
      <c r="A53" s="90" t="s">
        <v>110</v>
      </c>
      <c r="B53" s="68" t="s">
        <v>48</v>
      </c>
      <c r="C53" s="69">
        <f>VLOOKUP(B53,Ingredients!$B$3:$C$44,2,FALSE)</f>
        <v>5</v>
      </c>
      <c r="D53" s="68" t="s">
        <v>58</v>
      </c>
      <c r="E53" s="70">
        <f>VLOOKUP(D53,Ingredients!$B$3:$C$44,2,FALSE)</f>
        <v>5</v>
      </c>
      <c r="F53" s="68" t="s">
        <v>31</v>
      </c>
      <c r="G53" s="70">
        <f>VLOOKUP(F53,Ingredients!$B$3:$C$44,2,FALSE)</f>
        <v>5</v>
      </c>
      <c r="H53" s="68" t="s">
        <v>37</v>
      </c>
      <c r="I53" s="70">
        <f>VLOOKUP(H53,Ingredients!$B$3:$C$44,2,FALSE)</f>
        <v>5</v>
      </c>
      <c r="J53" s="68" t="s">
        <v>62</v>
      </c>
      <c r="K53" s="71">
        <f>VLOOKUP(J53,Ingredients!$B$3:$C$44,2,FALSE)</f>
        <v>0</v>
      </c>
      <c r="L53" s="68" t="s">
        <v>62</v>
      </c>
      <c r="M53" s="72">
        <f>VLOOKUP(L53,Ingredients!$B$3:$C$44,2,FALSE)</f>
        <v>0</v>
      </c>
      <c r="N53" s="73">
        <f t="shared" si="1"/>
        <v>20</v>
      </c>
    </row>
    <row r="54">
      <c r="A54" s="91" t="s">
        <v>111</v>
      </c>
      <c r="B54" s="92" t="s">
        <v>48</v>
      </c>
      <c r="C54" s="93">
        <f>VLOOKUP(B54,Ingredients!$B$3:$C$44,2,FALSE)</f>
        <v>5</v>
      </c>
      <c r="D54" s="92" t="s">
        <v>34</v>
      </c>
      <c r="E54" s="94">
        <f>VLOOKUP(D54,Ingredients!$B$3:$C$44,2,FALSE)</f>
        <v>5</v>
      </c>
      <c r="F54" s="92" t="s">
        <v>60</v>
      </c>
      <c r="G54" s="94">
        <f>VLOOKUP(F54,Ingredients!$B$3:$C$44,2,FALSE)</f>
        <v>11</v>
      </c>
      <c r="H54" s="92" t="s">
        <v>61</v>
      </c>
      <c r="I54" s="94">
        <f>VLOOKUP(H54,Ingredients!$B$3:$C$44,2,FALSE)</f>
        <v>11</v>
      </c>
      <c r="J54" s="92" t="s">
        <v>62</v>
      </c>
      <c r="K54" s="95">
        <f>VLOOKUP(J54,Ingredients!$B$3:$C$44,2,FALSE)</f>
        <v>0</v>
      </c>
      <c r="L54" s="92" t="s">
        <v>62</v>
      </c>
      <c r="M54" s="96">
        <f>VLOOKUP(L54,Ingredients!$B$3:$C$44,2,FALSE)</f>
        <v>0</v>
      </c>
      <c r="N54" s="97">
        <f t="shared" si="1"/>
        <v>32</v>
      </c>
    </row>
    <row r="55">
      <c r="A55" s="83" t="s">
        <v>112</v>
      </c>
      <c r="B55" s="84" t="s">
        <v>2</v>
      </c>
      <c r="C55" s="85">
        <f>VLOOKUP(B55,Ingredients!$B$3:$C$44,2,FALSE)</f>
        <v>5</v>
      </c>
      <c r="D55" s="84" t="s">
        <v>49</v>
      </c>
      <c r="E55" s="86">
        <f>VLOOKUP(D55,Ingredients!$B$3:$C$44,2,FALSE)</f>
        <v>5</v>
      </c>
      <c r="F55" s="84" t="s">
        <v>57</v>
      </c>
      <c r="G55" s="86">
        <f>VLOOKUP(F55,Ingredients!$B$3:$C$44,2,FALSE)</f>
        <v>5</v>
      </c>
      <c r="H55" s="84" t="s">
        <v>22</v>
      </c>
      <c r="I55" s="86">
        <f>VLOOKUP(H55,Ingredients!$B$3:$C$44,2,FALSE)</f>
        <v>10</v>
      </c>
      <c r="J55" s="84" t="s">
        <v>62</v>
      </c>
      <c r="K55" s="87">
        <f>VLOOKUP(J55,Ingredients!$B$3:$C$44,2,FALSE)</f>
        <v>0</v>
      </c>
      <c r="L55" s="84" t="s">
        <v>62</v>
      </c>
      <c r="M55" s="88">
        <f>VLOOKUP(L55,Ingredients!$B$3:$C$44,2,FALSE)</f>
        <v>0</v>
      </c>
      <c r="N55" s="89">
        <f t="shared" si="1"/>
        <v>25</v>
      </c>
    </row>
    <row r="56">
      <c r="A56" s="90" t="s">
        <v>113</v>
      </c>
      <c r="B56" s="68" t="s">
        <v>49</v>
      </c>
      <c r="C56" s="69">
        <f>VLOOKUP(B56,Ingredients!$B$3:$C$44,2,FALSE)</f>
        <v>5</v>
      </c>
      <c r="D56" s="68" t="s">
        <v>37</v>
      </c>
      <c r="E56" s="70">
        <f>VLOOKUP(D56,Ingredients!$B$3:$C$44,2,FALSE)</f>
        <v>5</v>
      </c>
      <c r="F56" s="68" t="s">
        <v>55</v>
      </c>
      <c r="G56" s="70">
        <f>VLOOKUP(F56,Ingredients!$B$3:$C$44,2,FALSE)</f>
        <v>7</v>
      </c>
      <c r="H56" s="68" t="s">
        <v>39</v>
      </c>
      <c r="I56" s="70">
        <f>VLOOKUP(H56,Ingredients!$B$3:$C$44,2,FALSE)</f>
        <v>5</v>
      </c>
      <c r="J56" s="68" t="s">
        <v>62</v>
      </c>
      <c r="K56" s="71">
        <f>VLOOKUP(J56,Ingredients!$B$3:$C$44,2,FALSE)</f>
        <v>0</v>
      </c>
      <c r="L56" s="68" t="s">
        <v>62</v>
      </c>
      <c r="M56" s="72">
        <f>VLOOKUP(L56,Ingredients!$B$3:$C$44,2,FALSE)</f>
        <v>0</v>
      </c>
      <c r="N56" s="73">
        <f t="shared" si="1"/>
        <v>22</v>
      </c>
    </row>
    <row r="57">
      <c r="A57" s="81" t="s">
        <v>114</v>
      </c>
      <c r="B57" s="75" t="s">
        <v>52</v>
      </c>
      <c r="C57" s="76">
        <f>VLOOKUP(B57,Ingredients!$B$3:$C$44,2,FALSE)</f>
        <v>5</v>
      </c>
      <c r="D57" s="75" t="s">
        <v>49</v>
      </c>
      <c r="E57" s="77">
        <f>VLOOKUP(D57,Ingredients!$B$3:$C$44,2,FALSE)</f>
        <v>5</v>
      </c>
      <c r="F57" s="75" t="s">
        <v>50</v>
      </c>
      <c r="G57" s="77">
        <f>VLOOKUP(F57,Ingredients!$B$3:$C$44,2,FALSE)</f>
        <v>5</v>
      </c>
      <c r="H57" s="75" t="s">
        <v>62</v>
      </c>
      <c r="I57" s="77">
        <f>VLOOKUP(H57,Ingredients!$B$3:$C$44,2,FALSE)</f>
        <v>0</v>
      </c>
      <c r="J57" s="75" t="s">
        <v>62</v>
      </c>
      <c r="K57" s="78">
        <f>VLOOKUP(J57,Ingredients!$B$3:$C$44,2,FALSE)</f>
        <v>0</v>
      </c>
      <c r="L57" s="75" t="s">
        <v>62</v>
      </c>
      <c r="M57" s="79">
        <f>VLOOKUP(L57,Ingredients!$B$3:$C$44,2,FALSE)</f>
        <v>0</v>
      </c>
      <c r="N57" s="80">
        <f t="shared" si="1"/>
        <v>15</v>
      </c>
    </row>
    <row r="58">
      <c r="A58" s="81" t="s">
        <v>115</v>
      </c>
      <c r="B58" s="75" t="s">
        <v>56</v>
      </c>
      <c r="C58" s="76">
        <f>VLOOKUP(B58,Ingredients!$B$3:$C$44,2,FALSE)</f>
        <v>5</v>
      </c>
      <c r="D58" s="75" t="s">
        <v>49</v>
      </c>
      <c r="E58" s="77">
        <f>VLOOKUP(D58,Ingredients!$B$3:$C$44,2,FALSE)</f>
        <v>5</v>
      </c>
      <c r="F58" s="75" t="s">
        <v>50</v>
      </c>
      <c r="G58" s="77">
        <f>VLOOKUP(F58,Ingredients!$B$3:$C$44,2,FALSE)</f>
        <v>5</v>
      </c>
      <c r="H58" s="75" t="s">
        <v>62</v>
      </c>
      <c r="I58" s="77">
        <f>VLOOKUP(H58,Ingredients!$B$3:$C$44,2,FALSE)</f>
        <v>0</v>
      </c>
      <c r="J58" s="75" t="s">
        <v>62</v>
      </c>
      <c r="K58" s="78">
        <f>VLOOKUP(J58,Ingredients!$B$3:$C$44,2,FALSE)</f>
        <v>0</v>
      </c>
      <c r="L58" s="75" t="s">
        <v>62</v>
      </c>
      <c r="M58" s="79">
        <f>VLOOKUP(L58,Ingredients!$B$3:$C$44,2,FALSE)</f>
        <v>0</v>
      </c>
      <c r="N58" s="80">
        <f t="shared" si="1"/>
        <v>15</v>
      </c>
    </row>
    <row r="59">
      <c r="A59" s="90" t="s">
        <v>116</v>
      </c>
      <c r="B59" s="68" t="s">
        <v>50</v>
      </c>
      <c r="C59" s="69">
        <f>VLOOKUP(B59,Ingredients!$B$3:$C$44,2,FALSE)</f>
        <v>5</v>
      </c>
      <c r="D59" s="68" t="s">
        <v>57</v>
      </c>
      <c r="E59" s="70">
        <f>VLOOKUP(D59,Ingredients!$B$3:$C$44,2,FALSE)</f>
        <v>5</v>
      </c>
      <c r="F59" s="68" t="s">
        <v>34</v>
      </c>
      <c r="G59" s="70">
        <f>VLOOKUP(F59,Ingredients!$B$3:$C$44,2,FALSE)</f>
        <v>5</v>
      </c>
      <c r="H59" s="68" t="s">
        <v>42</v>
      </c>
      <c r="I59" s="70">
        <f>VLOOKUP(H59,Ingredients!$B$3:$C$44,2,FALSE)</f>
        <v>6</v>
      </c>
      <c r="J59" s="68" t="s">
        <v>62</v>
      </c>
      <c r="K59" s="71">
        <f>VLOOKUP(J59,Ingredients!$B$3:$C$44,2,FALSE)</f>
        <v>0</v>
      </c>
      <c r="L59" s="68" t="s">
        <v>62</v>
      </c>
      <c r="M59" s="72">
        <f>VLOOKUP(L59,Ingredients!$B$3:$C$44,2,FALSE)</f>
        <v>0</v>
      </c>
      <c r="N59" s="73">
        <f t="shared" si="1"/>
        <v>21</v>
      </c>
    </row>
    <row r="60">
      <c r="A60" s="81" t="s">
        <v>117</v>
      </c>
      <c r="B60" s="75" t="s">
        <v>50</v>
      </c>
      <c r="C60" s="76">
        <f>VLOOKUP(B60,Ingredients!$B$3:$C$44,2,FALSE)</f>
        <v>5</v>
      </c>
      <c r="D60" s="75" t="s">
        <v>28</v>
      </c>
      <c r="E60" s="77">
        <f>VLOOKUP(D60,Ingredients!$B$3:$C$44,2,FALSE)</f>
        <v>5</v>
      </c>
      <c r="F60" s="75" t="s">
        <v>57</v>
      </c>
      <c r="G60" s="77">
        <f>VLOOKUP(F60,Ingredients!$B$3:$C$44,2,FALSE)</f>
        <v>5</v>
      </c>
      <c r="H60" s="75" t="s">
        <v>62</v>
      </c>
      <c r="I60" s="77">
        <f>VLOOKUP(H60,Ingredients!$B$3:$C$44,2,FALSE)</f>
        <v>0</v>
      </c>
      <c r="J60" s="75" t="s">
        <v>62</v>
      </c>
      <c r="K60" s="78">
        <f>VLOOKUP(J60,Ingredients!$B$3:$C$44,2,FALSE)</f>
        <v>0</v>
      </c>
      <c r="L60" s="75" t="s">
        <v>62</v>
      </c>
      <c r="M60" s="79">
        <f>VLOOKUP(L60,Ingredients!$B$3:$C$44,2,FALSE)</f>
        <v>0</v>
      </c>
      <c r="N60" s="80">
        <f t="shared" si="1"/>
        <v>15</v>
      </c>
    </row>
    <row r="61">
      <c r="A61" s="81" t="s">
        <v>118</v>
      </c>
      <c r="B61" s="75" t="s">
        <v>32</v>
      </c>
      <c r="C61" s="76">
        <f>VLOOKUP(B61,Ingredients!$B$3:$C$44,2,FALSE)</f>
        <v>5</v>
      </c>
      <c r="D61" s="75" t="s">
        <v>47</v>
      </c>
      <c r="E61" s="77">
        <f>VLOOKUP(D61,Ingredients!$B$3:$C$44,2,FALSE)</f>
        <v>5</v>
      </c>
      <c r="F61" s="75" t="s">
        <v>41</v>
      </c>
      <c r="G61" s="77">
        <f>VLOOKUP(F61,Ingredients!$B$3:$C$44,2,FALSE)</f>
        <v>5</v>
      </c>
      <c r="H61" s="75" t="s">
        <v>62</v>
      </c>
      <c r="I61" s="77">
        <f>VLOOKUP(H61,Ingredients!$B$3:$C$44,2,FALSE)</f>
        <v>0</v>
      </c>
      <c r="J61" s="75" t="s">
        <v>62</v>
      </c>
      <c r="K61" s="78">
        <f>VLOOKUP(J61,Ingredients!$B$3:$C$44,2,FALSE)</f>
        <v>0</v>
      </c>
      <c r="L61" s="75" t="s">
        <v>62</v>
      </c>
      <c r="M61" s="79">
        <f>VLOOKUP(L61,Ingredients!$B$3:$C$44,2,FALSE)</f>
        <v>0</v>
      </c>
      <c r="N61" s="80">
        <f t="shared" si="1"/>
        <v>15</v>
      </c>
    </row>
    <row r="62">
      <c r="A62" s="81" t="s">
        <v>119</v>
      </c>
      <c r="B62" s="75" t="s">
        <v>56</v>
      </c>
      <c r="C62" s="76">
        <f>VLOOKUP(B62,Ingredients!$B$3:$C$44,2,FALSE)</f>
        <v>5</v>
      </c>
      <c r="D62" s="75" t="s">
        <v>42</v>
      </c>
      <c r="E62" s="77">
        <f>VLOOKUP(D62,Ingredients!$B$3:$C$44,2,FALSE)</f>
        <v>6</v>
      </c>
      <c r="F62" s="75" t="s">
        <v>50</v>
      </c>
      <c r="G62" s="77">
        <f>VLOOKUP(F62,Ingredients!$B$3:$C$44,2,FALSE)</f>
        <v>5</v>
      </c>
      <c r="H62" s="75" t="s">
        <v>62</v>
      </c>
      <c r="I62" s="77">
        <f>VLOOKUP(H62,Ingredients!$B$3:$C$44,2,FALSE)</f>
        <v>0</v>
      </c>
      <c r="J62" s="75" t="s">
        <v>62</v>
      </c>
      <c r="K62" s="78">
        <f>VLOOKUP(J62,Ingredients!$B$3:$C$44,2,FALSE)</f>
        <v>0</v>
      </c>
      <c r="L62" s="75" t="s">
        <v>62</v>
      </c>
      <c r="M62" s="79">
        <f>VLOOKUP(L62,Ingredients!$B$3:$C$44,2,FALSE)</f>
        <v>0</v>
      </c>
      <c r="N62" s="80">
        <f t="shared" si="1"/>
        <v>16</v>
      </c>
    </row>
    <row r="63">
      <c r="A63" s="81" t="s">
        <v>120</v>
      </c>
      <c r="B63" s="75" t="s">
        <v>56</v>
      </c>
      <c r="C63" s="76">
        <f>VLOOKUP(B63,Ingredients!$B$3:$C$44,2,FALSE)</f>
        <v>5</v>
      </c>
      <c r="D63" s="75" t="s">
        <v>52</v>
      </c>
      <c r="E63" s="77">
        <f>VLOOKUP(D63,Ingredients!$B$3:$C$44,2,FALSE)</f>
        <v>5</v>
      </c>
      <c r="F63" s="75" t="s">
        <v>58</v>
      </c>
      <c r="G63" s="77">
        <f>VLOOKUP(F63,Ingredients!$B$3:$C$44,2,FALSE)</f>
        <v>5</v>
      </c>
      <c r="H63" s="75" t="s">
        <v>62</v>
      </c>
      <c r="I63" s="77">
        <f>VLOOKUP(H63,Ingredients!$B$3:$C$44,2,FALSE)</f>
        <v>0</v>
      </c>
      <c r="J63" s="75" t="s">
        <v>62</v>
      </c>
      <c r="K63" s="78">
        <f>VLOOKUP(J63,Ingredients!$B$3:$C$44,2,FALSE)</f>
        <v>0</v>
      </c>
      <c r="L63" s="75" t="s">
        <v>62</v>
      </c>
      <c r="M63" s="79">
        <f>VLOOKUP(L63,Ingredients!$B$3:$C$44,2,FALSE)</f>
        <v>0</v>
      </c>
      <c r="N63" s="80">
        <f t="shared" si="1"/>
        <v>15</v>
      </c>
    </row>
    <row r="64">
      <c r="A64" s="83" t="s">
        <v>121</v>
      </c>
      <c r="B64" s="84" t="s">
        <v>51</v>
      </c>
      <c r="C64" s="85">
        <f>VLOOKUP(B64,Ingredients!$B$3:$C$44,2,FALSE)</f>
        <v>10</v>
      </c>
      <c r="D64" s="84" t="s">
        <v>29</v>
      </c>
      <c r="E64" s="86">
        <f>VLOOKUP(D64,Ingredients!$B$3:$C$44,2,FALSE)</f>
        <v>8</v>
      </c>
      <c r="F64" s="84" t="s">
        <v>40</v>
      </c>
      <c r="G64" s="86">
        <f>VLOOKUP(F64,Ingredients!$B$3:$C$44,2,FALSE)</f>
        <v>5</v>
      </c>
      <c r="H64" s="84" t="s">
        <v>50</v>
      </c>
      <c r="I64" s="86">
        <f>VLOOKUP(H64,Ingredients!$B$3:$C$44,2,FALSE)</f>
        <v>5</v>
      </c>
      <c r="J64" s="84" t="s">
        <v>62</v>
      </c>
      <c r="K64" s="87">
        <f>VLOOKUP(J64,Ingredients!$B$3:$C$44,2,FALSE)</f>
        <v>0</v>
      </c>
      <c r="L64" s="84" t="s">
        <v>62</v>
      </c>
      <c r="M64" s="88">
        <f>VLOOKUP(L64,Ingredients!$B$3:$C$44,2,FALSE)</f>
        <v>0</v>
      </c>
      <c r="N64" s="89">
        <f t="shared" si="1"/>
        <v>28</v>
      </c>
    </row>
    <row r="65">
      <c r="A65" s="90" t="s">
        <v>122</v>
      </c>
      <c r="B65" s="68" t="s">
        <v>37</v>
      </c>
      <c r="C65" s="69">
        <f>VLOOKUP(B65,Ingredients!$B$3:$C$44,2,FALSE)</f>
        <v>5</v>
      </c>
      <c r="D65" s="68" t="s">
        <v>32</v>
      </c>
      <c r="E65" s="70">
        <f>VLOOKUP(D65,Ingredients!$B$3:$C$44,2,FALSE)</f>
        <v>5</v>
      </c>
      <c r="F65" s="68" t="s">
        <v>41</v>
      </c>
      <c r="G65" s="70">
        <f>VLOOKUP(F65,Ingredients!$B$3:$C$44,2,FALSE)</f>
        <v>5</v>
      </c>
      <c r="H65" s="68" t="s">
        <v>47</v>
      </c>
      <c r="I65" s="70">
        <f>VLOOKUP(H65,Ingredients!$B$3:$C$44,2,FALSE)</f>
        <v>5</v>
      </c>
      <c r="J65" s="68" t="s">
        <v>62</v>
      </c>
      <c r="K65" s="71">
        <f>VLOOKUP(J65,Ingredients!$B$3:$C$44,2,FALSE)</f>
        <v>0</v>
      </c>
      <c r="L65" s="68" t="s">
        <v>62</v>
      </c>
      <c r="M65" s="72">
        <f>VLOOKUP(L65,Ingredients!$B$3:$C$44,2,FALSE)</f>
        <v>0</v>
      </c>
      <c r="N65" s="73">
        <f t="shared" si="1"/>
        <v>20</v>
      </c>
    </row>
    <row r="66">
      <c r="A66" s="81" t="s">
        <v>18</v>
      </c>
      <c r="B66" s="75" t="s">
        <v>57</v>
      </c>
      <c r="C66" s="76">
        <f>VLOOKUP(B66,Ingredients!$B$3:$C$44,2,FALSE)</f>
        <v>5</v>
      </c>
      <c r="D66" s="75" t="s">
        <v>36</v>
      </c>
      <c r="E66" s="77">
        <f>VLOOKUP(D66,Ingredients!$B$3:$C$44,2,FALSE)</f>
        <v>5</v>
      </c>
      <c r="F66" s="75" t="s">
        <v>40</v>
      </c>
      <c r="G66" s="77">
        <f>VLOOKUP(F66,Ingredients!$B$3:$C$44,2,FALSE)</f>
        <v>5</v>
      </c>
      <c r="H66" s="75" t="s">
        <v>62</v>
      </c>
      <c r="I66" s="77">
        <f>VLOOKUP(H66,Ingredients!$B$3:$C$44,2,FALSE)</f>
        <v>0</v>
      </c>
      <c r="J66" s="75" t="s">
        <v>62</v>
      </c>
      <c r="K66" s="78">
        <f>VLOOKUP(J66,Ingredients!$B$3:$C$44,2,FALSE)</f>
        <v>0</v>
      </c>
      <c r="L66" s="75" t="s">
        <v>62</v>
      </c>
      <c r="M66" s="79">
        <f>VLOOKUP(L66,Ingredients!$B$3:$C$44,2,FALSE)</f>
        <v>0</v>
      </c>
      <c r="N66" s="80">
        <f t="shared" si="1"/>
        <v>15</v>
      </c>
    </row>
    <row r="67">
      <c r="A67" s="81" t="s">
        <v>123</v>
      </c>
      <c r="B67" s="75" t="s">
        <v>57</v>
      </c>
      <c r="C67" s="76">
        <f>VLOOKUP(B67,Ingredients!$B$3:$C$44,2,FALSE)</f>
        <v>5</v>
      </c>
      <c r="D67" s="75" t="s">
        <v>40</v>
      </c>
      <c r="E67" s="77">
        <f>VLOOKUP(D67,Ingredients!$B$3:$C$44,2,FALSE)</f>
        <v>5</v>
      </c>
      <c r="F67" s="75" t="s">
        <v>58</v>
      </c>
      <c r="G67" s="77">
        <f>VLOOKUP(F67,Ingredients!$B$3:$C$44,2,FALSE)</f>
        <v>5</v>
      </c>
      <c r="H67" s="75" t="s">
        <v>62</v>
      </c>
      <c r="I67" s="77">
        <f>VLOOKUP(H67,Ingredients!$B$3:$C$44,2,FALSE)</f>
        <v>0</v>
      </c>
      <c r="J67" s="75" t="s">
        <v>62</v>
      </c>
      <c r="K67" s="78">
        <f>VLOOKUP(J67,Ingredients!$B$3:$C$44,2,FALSE)</f>
        <v>0</v>
      </c>
      <c r="L67" s="75" t="s">
        <v>62</v>
      </c>
      <c r="M67" s="79">
        <f>VLOOKUP(L67,Ingredients!$B$3:$C$44,2,FALSE)</f>
        <v>0</v>
      </c>
      <c r="N67" s="80">
        <f t="shared" si="1"/>
        <v>15</v>
      </c>
    </row>
    <row r="68">
      <c r="A68" s="81" t="s">
        <v>19</v>
      </c>
      <c r="B68" s="75" t="s">
        <v>54</v>
      </c>
      <c r="C68" s="76">
        <f>VLOOKUP(B68,Ingredients!$B$3:$C$44,2,FALSE)</f>
        <v>8</v>
      </c>
      <c r="D68" s="75" t="s">
        <v>33</v>
      </c>
      <c r="E68" s="77">
        <f>VLOOKUP(D68,Ingredients!$B$3:$C$44,2,FALSE)</f>
        <v>5</v>
      </c>
      <c r="F68" s="75" t="s">
        <v>50</v>
      </c>
      <c r="G68" s="77">
        <f>VLOOKUP(F68,Ingredients!$B$3:$C$44,2,FALSE)</f>
        <v>5</v>
      </c>
      <c r="H68" s="75" t="s">
        <v>62</v>
      </c>
      <c r="I68" s="77">
        <f>VLOOKUP(H68,Ingredients!$B$3:$C$44,2,FALSE)</f>
        <v>0</v>
      </c>
      <c r="J68" s="75" t="s">
        <v>62</v>
      </c>
      <c r="K68" s="78">
        <f>VLOOKUP(J68,Ingredients!$B$3:$C$44,2,FALSE)</f>
        <v>0</v>
      </c>
      <c r="L68" s="75" t="s">
        <v>62</v>
      </c>
      <c r="M68" s="79">
        <f>VLOOKUP(L68,Ingredients!$B$3:$C$44,2,FALSE)</f>
        <v>0</v>
      </c>
      <c r="N68" s="80">
        <f t="shared" si="1"/>
        <v>18</v>
      </c>
    </row>
    <row r="69">
      <c r="A69" s="81" t="s">
        <v>124</v>
      </c>
      <c r="B69" s="75" t="s">
        <v>49</v>
      </c>
      <c r="C69" s="76">
        <f>VLOOKUP(B69,Ingredients!$B$3:$C$44,2,FALSE)</f>
        <v>5</v>
      </c>
      <c r="D69" s="99" t="s">
        <v>56</v>
      </c>
      <c r="E69" s="77">
        <f>VLOOKUP(D69,Ingredients!$B$3:$C$44,2,FALSE)</f>
        <v>5</v>
      </c>
      <c r="F69" s="75" t="s">
        <v>52</v>
      </c>
      <c r="G69" s="77">
        <f>VLOOKUP(F69,Ingredients!$B$3:$C$44,2,FALSE)</f>
        <v>5</v>
      </c>
      <c r="H69" s="75" t="s">
        <v>62</v>
      </c>
      <c r="I69" s="77">
        <f>VLOOKUP(H69,Ingredients!$B$3:$C$44,2,FALSE)</f>
        <v>0</v>
      </c>
      <c r="J69" s="75" t="s">
        <v>62</v>
      </c>
      <c r="K69" s="78">
        <f>VLOOKUP(J69,Ingredients!$B$3:$C$44,2,FALSE)</f>
        <v>0</v>
      </c>
      <c r="L69" s="75" t="s">
        <v>62</v>
      </c>
      <c r="M69" s="79">
        <f>VLOOKUP(L69,Ingredients!$B$3:$C$44,2,FALSE)</f>
        <v>0</v>
      </c>
      <c r="N69" s="80">
        <f t="shared" si="1"/>
        <v>15</v>
      </c>
    </row>
    <row r="70">
      <c r="A70" s="81" t="s">
        <v>125</v>
      </c>
      <c r="B70" s="75" t="s">
        <v>47</v>
      </c>
      <c r="C70" s="76">
        <f>VLOOKUP(B70,Ingredients!$B$3:$C$44,2,FALSE)</f>
        <v>5</v>
      </c>
      <c r="D70" s="99" t="s">
        <v>39</v>
      </c>
      <c r="E70" s="77">
        <f>VLOOKUP(D70,Ingredients!$B$3:$C$44,2,FALSE)</f>
        <v>5</v>
      </c>
      <c r="F70" s="75" t="s">
        <v>31</v>
      </c>
      <c r="G70" s="77">
        <f>VLOOKUP(F70,Ingredients!$B$3:$C$44,2,FALSE)</f>
        <v>5</v>
      </c>
      <c r="H70" s="75" t="s">
        <v>62</v>
      </c>
      <c r="I70" s="77">
        <f>VLOOKUP(H70,Ingredients!$B$3:$C$44,2,FALSE)</f>
        <v>0</v>
      </c>
      <c r="J70" s="75" t="s">
        <v>62</v>
      </c>
      <c r="K70" s="78">
        <f>VLOOKUP(J70,Ingredients!$B$3:$C$44,2,FALSE)</f>
        <v>0</v>
      </c>
      <c r="L70" s="75" t="s">
        <v>62</v>
      </c>
      <c r="M70" s="79">
        <f>VLOOKUP(L70,Ingredients!$B$3:$C$44,2,FALSE)</f>
        <v>0</v>
      </c>
      <c r="N70" s="80">
        <f t="shared" si="1"/>
        <v>15</v>
      </c>
    </row>
    <row r="71">
      <c r="A71" s="81" t="s">
        <v>126</v>
      </c>
      <c r="B71" s="75" t="s">
        <v>31</v>
      </c>
      <c r="C71" s="76">
        <f>VLOOKUP(B71,Ingredients!$B$3:$C$44,2,FALSE)</f>
        <v>5</v>
      </c>
      <c r="D71" s="75" t="s">
        <v>39</v>
      </c>
      <c r="E71" s="77">
        <f>VLOOKUP(D71,Ingredients!$B$3:$C$44,2,FALSE)</f>
        <v>5</v>
      </c>
      <c r="F71" s="75" t="s">
        <v>25</v>
      </c>
      <c r="G71" s="77">
        <f>VLOOKUP(F71,Ingredients!$B$3:$C$44,2,FALSE)</f>
        <v>5</v>
      </c>
      <c r="H71" s="75" t="s">
        <v>62</v>
      </c>
      <c r="I71" s="77">
        <f>VLOOKUP(H71,Ingredients!$B$3:$C$44,2,FALSE)</f>
        <v>0</v>
      </c>
      <c r="J71" s="75" t="s">
        <v>62</v>
      </c>
      <c r="K71" s="78">
        <f>VLOOKUP(J71,Ingredients!$B$3:$C$44,2,FALSE)</f>
        <v>0</v>
      </c>
      <c r="L71" s="75" t="s">
        <v>62</v>
      </c>
      <c r="M71" s="79">
        <f>VLOOKUP(L71,Ingredients!$B$3:$C$44,2,FALSE)</f>
        <v>0</v>
      </c>
      <c r="N71" s="80">
        <f t="shared" si="1"/>
        <v>15</v>
      </c>
    </row>
    <row r="72">
      <c r="A72" s="81" t="s">
        <v>127</v>
      </c>
      <c r="B72" s="75" t="s">
        <v>31</v>
      </c>
      <c r="C72" s="76">
        <f>VLOOKUP(B72,Ingredients!$B$3:$C$44,2,FALSE)</f>
        <v>5</v>
      </c>
      <c r="D72" s="75" t="s">
        <v>39</v>
      </c>
      <c r="E72" s="77">
        <f>VLOOKUP(D72,Ingredients!$B$3:$C$44,2,FALSE)</f>
        <v>5</v>
      </c>
      <c r="F72" s="75" t="s">
        <v>32</v>
      </c>
      <c r="G72" s="77">
        <f>VLOOKUP(F72,Ingredients!$B$3:$C$44,2,FALSE)</f>
        <v>5</v>
      </c>
      <c r="H72" s="75" t="s">
        <v>62</v>
      </c>
      <c r="I72" s="77">
        <f>VLOOKUP(H72,Ingredients!$B$3:$C$44,2,FALSE)</f>
        <v>0</v>
      </c>
      <c r="J72" s="75" t="s">
        <v>62</v>
      </c>
      <c r="K72" s="78">
        <f>VLOOKUP(J72,Ingredients!$B$3:$C$44,2,FALSE)</f>
        <v>0</v>
      </c>
      <c r="L72" s="75" t="s">
        <v>62</v>
      </c>
      <c r="M72" s="79">
        <f>VLOOKUP(L72,Ingredients!$B$3:$C$44,2,FALSE)</f>
        <v>0</v>
      </c>
      <c r="N72" s="80">
        <f t="shared" si="1"/>
        <v>15</v>
      </c>
    </row>
    <row r="73">
      <c r="A73" s="90" t="s">
        <v>128</v>
      </c>
      <c r="B73" s="68" t="s">
        <v>34</v>
      </c>
      <c r="C73" s="69">
        <f>VLOOKUP(B73,Ingredients!$B$3:$C$44,2,FALSE)</f>
        <v>5</v>
      </c>
      <c r="D73" s="68" t="s">
        <v>34</v>
      </c>
      <c r="E73" s="70">
        <f>VLOOKUP(D73,Ingredients!$B$3:$C$44,2,FALSE)</f>
        <v>5</v>
      </c>
      <c r="F73" s="68" t="s">
        <v>26</v>
      </c>
      <c r="G73" s="70">
        <f>VLOOKUP(F73,Ingredients!$B$3:$C$44,2,FALSE)</f>
        <v>8</v>
      </c>
      <c r="H73" s="68" t="s">
        <v>48</v>
      </c>
      <c r="I73" s="70">
        <f>VLOOKUP(H73,Ingredients!$B$3:$C$44,2,FALSE)</f>
        <v>5</v>
      </c>
      <c r="J73" s="68" t="s">
        <v>62</v>
      </c>
      <c r="K73" s="71">
        <f>VLOOKUP(J73,Ingredients!$B$3:$C$44,2,FALSE)</f>
        <v>0</v>
      </c>
      <c r="L73" s="68" t="s">
        <v>62</v>
      </c>
      <c r="M73" s="72">
        <f>VLOOKUP(L73,Ingredients!$B$3:$C$44,2,FALSE)</f>
        <v>0</v>
      </c>
      <c r="N73" s="73">
        <f t="shared" si="1"/>
        <v>23</v>
      </c>
    </row>
    <row r="74">
      <c r="A74" s="90" t="s">
        <v>129</v>
      </c>
      <c r="B74" s="114" t="s">
        <v>42</v>
      </c>
      <c r="C74" s="115">
        <f>VLOOKUP(B74,Ingredients!$B$3:$C$44,2,FALSE)</f>
        <v>6</v>
      </c>
      <c r="D74" s="116" t="s">
        <v>22</v>
      </c>
      <c r="E74" s="117">
        <f>VLOOKUP(D74,Ingredients!$B$3:$C$44,2,FALSE)</f>
        <v>10</v>
      </c>
      <c r="F74" s="114" t="s">
        <v>32</v>
      </c>
      <c r="G74" s="117">
        <f>VLOOKUP(F74,Ingredients!$B$3:$C$44,2,FALSE)</f>
        <v>5</v>
      </c>
      <c r="H74" s="114" t="s">
        <v>62</v>
      </c>
      <c r="I74" s="117">
        <f>VLOOKUP(H74,Ingredients!$B$3:$C$44,2,FALSE)</f>
        <v>0</v>
      </c>
      <c r="J74" s="114" t="s">
        <v>62</v>
      </c>
      <c r="K74" s="118">
        <f>VLOOKUP(J74,Ingredients!$B$3:$C$44,2,FALSE)</f>
        <v>0</v>
      </c>
      <c r="L74" s="114" t="s">
        <v>62</v>
      </c>
      <c r="M74" s="119">
        <f>VLOOKUP(L74,Ingredients!$B$3:$C$44,2,FALSE)</f>
        <v>0</v>
      </c>
      <c r="N74" s="120">
        <f t="shared" si="1"/>
        <v>21</v>
      </c>
    </row>
  </sheetData>
  <dataValidations>
    <dataValidation type="list" allowBlank="1" showErrorMessage="1" sqref="B1:B74 D1:D74 F1:F74 H1:H74 J1:J74 L1:L74">
      <formula1>Rien[Ingrédient:]</formula1>
    </dataValidation>
  </dataValidations>
  <printOptions gridLines="1" horizontalCentered="1"/>
  <pageMargins bottom="0.0" footer="0.0" header="0.0" left="0.040461908003750754" right="0.040461908003750754" top="0.0674365133395846"/>
  <pageSetup fitToHeight="0" paperSize="11" cellComments="atEnd" orientation="landscape" pageOrder="overThenDown"/>
  <drawing r:id="rId1"/>
</worksheet>
</file>